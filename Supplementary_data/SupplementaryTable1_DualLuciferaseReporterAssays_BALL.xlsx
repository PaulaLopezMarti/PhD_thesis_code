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rof\Dropbox\IJC _ Javierre\N. BCM GWAS paper\26.08.13.ThesisPaula_FiguresAndMore_TRF\SupplementaryTable\"/>
    </mc:Choice>
  </mc:AlternateContent>
  <xr:revisionPtr revIDLastSave="0" documentId="13_ncr:1_{B2F1AF1B-9F0B-4001-A46D-C1BB4A623271}" xr6:coauthVersionLast="47" xr6:coauthVersionMax="47" xr10:uidLastSave="{00000000-0000-0000-0000-000000000000}"/>
  <bookViews>
    <workbookView xWindow="-108" yWindow="-108" windowWidth="23256" windowHeight="12456" xr2:uid="{389EC41A-EC68-428F-8F8E-22914D437CDD}"/>
  </bookViews>
  <sheets>
    <sheet name="VectorSequences" sheetId="13" r:id="rId1"/>
    <sheet name="Results_LBL3_luc_R1R2" sheetId="17" r:id="rId2"/>
    <sheet name="Results_NALM6_luc_R12" sheetId="12" r:id="rId3"/>
    <sheet name="Results_RS411_luc_R1" sheetId="14" r:id="rId4"/>
    <sheet name="Results_SEM_luc_R1" sheetId="1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17" l="1"/>
  <c r="U131" i="17"/>
  <c r="W130" i="17"/>
  <c r="V130" i="17"/>
  <c r="U130" i="17"/>
  <c r="V129" i="17"/>
  <c r="U129" i="17"/>
  <c r="W128" i="17"/>
  <c r="V128" i="17"/>
  <c r="U128" i="17"/>
  <c r="V127" i="17"/>
  <c r="U127" i="17"/>
  <c r="W126" i="17"/>
  <c r="V126" i="17"/>
  <c r="U126" i="17"/>
  <c r="V125" i="17"/>
  <c r="U125" i="17"/>
  <c r="W124" i="17"/>
  <c r="V124" i="17"/>
  <c r="U124" i="17"/>
  <c r="V123" i="17"/>
  <c r="U123" i="17"/>
  <c r="W122" i="17"/>
  <c r="V122" i="17"/>
  <c r="U122" i="17"/>
  <c r="V121" i="17"/>
  <c r="U121" i="17"/>
  <c r="W120" i="17"/>
  <c r="V120" i="17"/>
  <c r="U120" i="17"/>
  <c r="V119" i="17"/>
  <c r="U119" i="17"/>
  <c r="W118" i="17"/>
  <c r="V118" i="17"/>
  <c r="U118" i="17"/>
  <c r="V117" i="17"/>
  <c r="U117" i="17"/>
  <c r="W116" i="17"/>
  <c r="V116" i="17"/>
  <c r="U116" i="17"/>
  <c r="V115" i="17"/>
  <c r="U115" i="17"/>
  <c r="W114" i="17"/>
  <c r="V114" i="17"/>
  <c r="U114" i="17"/>
  <c r="V113" i="17"/>
  <c r="U113" i="17"/>
  <c r="W112" i="17"/>
  <c r="V112" i="17"/>
  <c r="U112" i="17"/>
  <c r="V111" i="17"/>
  <c r="U111" i="17"/>
  <c r="W110" i="17"/>
  <c r="V110" i="17"/>
  <c r="U110" i="17"/>
  <c r="V109" i="17"/>
  <c r="U109" i="17"/>
  <c r="W108" i="17"/>
  <c r="V108" i="17"/>
  <c r="U108" i="17"/>
  <c r="V107" i="17"/>
  <c r="U107" i="17"/>
  <c r="W106" i="17"/>
  <c r="V106" i="17"/>
  <c r="U106" i="17"/>
  <c r="V105" i="17"/>
  <c r="U105" i="17"/>
  <c r="W104" i="17"/>
  <c r="V104" i="17"/>
  <c r="U104" i="17"/>
  <c r="V103" i="17"/>
  <c r="U103" i="17"/>
  <c r="W102" i="17"/>
  <c r="V102" i="17"/>
  <c r="U102" i="17"/>
  <c r="V101" i="17"/>
  <c r="U101" i="17"/>
  <c r="W100" i="17"/>
  <c r="V100" i="17"/>
  <c r="U100" i="17"/>
  <c r="V99" i="17"/>
  <c r="U99" i="17"/>
  <c r="W98" i="17"/>
  <c r="V98" i="17"/>
  <c r="U98" i="17"/>
  <c r="V97" i="17"/>
  <c r="U97" i="17"/>
  <c r="W96" i="17"/>
  <c r="V96" i="17"/>
  <c r="U96" i="17"/>
  <c r="V95" i="17"/>
  <c r="U95" i="17"/>
  <c r="W94" i="17"/>
  <c r="V94" i="17"/>
  <c r="U94" i="17"/>
  <c r="V93" i="17"/>
  <c r="U93" i="17"/>
  <c r="W92" i="17"/>
  <c r="V92" i="17"/>
  <c r="U92" i="17"/>
  <c r="V91" i="17"/>
  <c r="U91" i="17"/>
  <c r="W90" i="17"/>
  <c r="V90" i="17"/>
  <c r="U90" i="17"/>
  <c r="V89" i="17"/>
  <c r="U89" i="17"/>
  <c r="W88" i="17"/>
  <c r="V88" i="17"/>
  <c r="U88" i="17"/>
  <c r="V87" i="17"/>
  <c r="U87" i="17"/>
  <c r="W86" i="17"/>
  <c r="V86" i="17"/>
  <c r="U86" i="17"/>
  <c r="V85" i="17"/>
  <c r="U85" i="17"/>
  <c r="W84" i="17"/>
  <c r="V84" i="17"/>
  <c r="U84" i="17"/>
  <c r="V83" i="17"/>
  <c r="U83" i="17"/>
  <c r="W82" i="17"/>
  <c r="V82" i="17"/>
  <c r="U82" i="17"/>
  <c r="V81" i="17"/>
  <c r="U81" i="17"/>
  <c r="W80" i="17"/>
  <c r="V80" i="17"/>
  <c r="U80" i="17"/>
  <c r="V79" i="17"/>
  <c r="U79" i="17"/>
  <c r="W78" i="17"/>
  <c r="V78" i="17"/>
  <c r="U78" i="17"/>
  <c r="V77" i="17"/>
  <c r="U77" i="17"/>
  <c r="W76" i="17"/>
  <c r="V76" i="17"/>
  <c r="U76" i="17"/>
  <c r="V75" i="17"/>
  <c r="U75" i="17"/>
  <c r="W74" i="17"/>
  <c r="V74" i="17"/>
  <c r="U74" i="17"/>
  <c r="V73" i="17"/>
  <c r="U73" i="17"/>
  <c r="W72" i="17"/>
  <c r="V72" i="17"/>
  <c r="U72" i="17"/>
  <c r="V71" i="17"/>
  <c r="U71" i="17"/>
  <c r="W70" i="17"/>
  <c r="V70" i="17"/>
  <c r="U70" i="17"/>
  <c r="V69" i="17"/>
  <c r="U69" i="17"/>
  <c r="W68" i="17"/>
  <c r="V68" i="17"/>
  <c r="U68" i="17"/>
  <c r="V67" i="17"/>
  <c r="U67" i="17"/>
  <c r="W66" i="17"/>
  <c r="V66" i="17"/>
  <c r="U66" i="17"/>
  <c r="V65" i="17"/>
  <c r="U65" i="17"/>
  <c r="W64" i="17"/>
  <c r="V64" i="17"/>
  <c r="U64" i="17"/>
  <c r="V63" i="17"/>
  <c r="U63" i="17"/>
  <c r="W62" i="17"/>
  <c r="V62" i="17"/>
  <c r="U62" i="17"/>
  <c r="V61" i="17"/>
  <c r="U61" i="17"/>
  <c r="W60" i="17"/>
  <c r="V60" i="17"/>
  <c r="U60" i="17"/>
  <c r="V59" i="17"/>
  <c r="U59" i="17"/>
  <c r="W58" i="17"/>
  <c r="V58" i="17"/>
  <c r="U58" i="17"/>
  <c r="V57" i="17"/>
  <c r="U57" i="17"/>
  <c r="W56" i="17"/>
  <c r="V56" i="17"/>
  <c r="U56" i="17"/>
  <c r="V55" i="17"/>
  <c r="U55" i="17"/>
  <c r="W54" i="17"/>
  <c r="V54" i="17"/>
  <c r="U54" i="17"/>
  <c r="V53" i="17"/>
  <c r="U53" i="17"/>
  <c r="W52" i="17"/>
  <c r="V52" i="17"/>
  <c r="U52" i="17"/>
  <c r="V51" i="17"/>
  <c r="U51" i="17"/>
  <c r="W50" i="17"/>
  <c r="V50" i="17"/>
  <c r="U50" i="17"/>
  <c r="V49" i="17"/>
  <c r="U49" i="17"/>
  <c r="W48" i="17"/>
  <c r="V48" i="17"/>
  <c r="U48" i="17"/>
  <c r="V47" i="17"/>
  <c r="U47" i="17"/>
  <c r="W46" i="17"/>
  <c r="V46" i="17"/>
  <c r="U46" i="17"/>
  <c r="V45" i="17"/>
  <c r="U45" i="17"/>
  <c r="W44" i="17"/>
  <c r="V44" i="17"/>
  <c r="U44" i="17"/>
  <c r="V43" i="17"/>
  <c r="U43" i="17"/>
  <c r="W42" i="17"/>
  <c r="V42" i="17"/>
  <c r="U42" i="17"/>
  <c r="V41" i="17"/>
  <c r="U41" i="17"/>
  <c r="W40" i="17"/>
  <c r="V40" i="17"/>
  <c r="U40" i="17"/>
  <c r="V39" i="17"/>
  <c r="U39" i="17"/>
  <c r="W38" i="17"/>
  <c r="V38" i="17"/>
  <c r="U38" i="17"/>
  <c r="V37" i="17"/>
  <c r="U37" i="17"/>
  <c r="W36" i="17"/>
  <c r="V36" i="17"/>
  <c r="U36" i="17"/>
  <c r="V35" i="17"/>
  <c r="U35" i="17"/>
  <c r="W34" i="17"/>
  <c r="V34" i="17"/>
  <c r="U34" i="17"/>
  <c r="V33" i="17"/>
  <c r="U33" i="17"/>
  <c r="W32" i="17"/>
  <c r="V32" i="17"/>
  <c r="U32" i="17"/>
  <c r="V31" i="17"/>
  <c r="U31" i="17"/>
  <c r="W30" i="17"/>
  <c r="V30" i="17"/>
  <c r="U30" i="17"/>
  <c r="V29" i="17"/>
  <c r="U29" i="17"/>
  <c r="W28" i="17"/>
  <c r="V28" i="17"/>
  <c r="U28" i="17"/>
  <c r="V27" i="17"/>
  <c r="U27" i="17"/>
  <c r="W26" i="17"/>
  <c r="V26" i="17"/>
  <c r="U26" i="17"/>
  <c r="V25" i="17"/>
  <c r="U25" i="17"/>
  <c r="W24" i="17"/>
  <c r="V24" i="17"/>
  <c r="U24" i="17"/>
  <c r="V23" i="17"/>
  <c r="U23" i="17"/>
  <c r="W22" i="17"/>
  <c r="V22" i="17"/>
  <c r="U22" i="17"/>
  <c r="V21" i="17"/>
  <c r="U21" i="17"/>
  <c r="W20" i="17"/>
  <c r="V20" i="17"/>
  <c r="U20" i="17"/>
  <c r="V19" i="17"/>
  <c r="U19" i="17"/>
  <c r="W18" i="17"/>
  <c r="V18" i="17"/>
  <c r="U18" i="17"/>
  <c r="V17" i="17"/>
  <c r="U17" i="17"/>
  <c r="W16" i="17"/>
  <c r="V16" i="17"/>
  <c r="U16" i="17"/>
  <c r="V15" i="17"/>
  <c r="U15" i="17"/>
  <c r="W14" i="17"/>
  <c r="V14" i="17"/>
  <c r="U14" i="17"/>
  <c r="V13" i="17"/>
  <c r="U13" i="17"/>
  <c r="W12" i="17"/>
  <c r="V12" i="17"/>
  <c r="U12" i="17"/>
  <c r="V11" i="17"/>
  <c r="U11" i="17"/>
  <c r="W10" i="17"/>
  <c r="V10" i="17"/>
  <c r="U10" i="17"/>
  <c r="V9" i="17"/>
  <c r="U9" i="17"/>
  <c r="W8" i="17"/>
  <c r="V8" i="17"/>
  <c r="U8" i="17"/>
  <c r="V7" i="17"/>
  <c r="U7" i="17"/>
  <c r="W6" i="17"/>
  <c r="V6" i="17"/>
  <c r="U6" i="17"/>
  <c r="V5" i="17"/>
  <c r="U5" i="17"/>
  <c r="W4" i="17"/>
  <c r="V4" i="17"/>
  <c r="U4" i="17"/>
  <c r="V3" i="17"/>
  <c r="U3" i="17"/>
  <c r="W2" i="17"/>
  <c r="V2" i="17"/>
  <c r="U2" i="17"/>
  <c r="U2" i="15" l="1"/>
  <c r="S7" i="15"/>
  <c r="S6" i="15"/>
  <c r="S5" i="15"/>
  <c r="S4" i="15"/>
  <c r="S3" i="15"/>
  <c r="S2" i="15"/>
  <c r="T131" i="15"/>
  <c r="S131" i="15"/>
  <c r="U130" i="15"/>
  <c r="T130" i="15"/>
  <c r="S130" i="15"/>
  <c r="T129" i="15"/>
  <c r="S129" i="15"/>
  <c r="U128" i="15"/>
  <c r="T128" i="15"/>
  <c r="S128" i="15"/>
  <c r="T127" i="15"/>
  <c r="S127" i="15"/>
  <c r="U126" i="15"/>
  <c r="T126" i="15"/>
  <c r="S126" i="15"/>
  <c r="T125" i="15"/>
  <c r="S125" i="15"/>
  <c r="U124" i="15"/>
  <c r="T124" i="15"/>
  <c r="S124" i="15"/>
  <c r="T123" i="15"/>
  <c r="S123" i="15"/>
  <c r="U122" i="15"/>
  <c r="T122" i="15"/>
  <c r="S122" i="15"/>
  <c r="T121" i="15"/>
  <c r="S121" i="15"/>
  <c r="U120" i="15"/>
  <c r="T120" i="15"/>
  <c r="S120" i="15"/>
  <c r="T119" i="15"/>
  <c r="S119" i="15"/>
  <c r="U118" i="15"/>
  <c r="T118" i="15"/>
  <c r="S118" i="15"/>
  <c r="T117" i="15"/>
  <c r="S117" i="15"/>
  <c r="U116" i="15"/>
  <c r="T116" i="15"/>
  <c r="S116" i="15"/>
  <c r="T115" i="15"/>
  <c r="S115" i="15"/>
  <c r="U114" i="15"/>
  <c r="T114" i="15"/>
  <c r="S114" i="15"/>
  <c r="T113" i="15"/>
  <c r="S113" i="15"/>
  <c r="U112" i="15"/>
  <c r="T112" i="15"/>
  <c r="S112" i="15"/>
  <c r="T111" i="15"/>
  <c r="S111" i="15"/>
  <c r="U110" i="15"/>
  <c r="T110" i="15"/>
  <c r="S110" i="15"/>
  <c r="T109" i="15"/>
  <c r="S109" i="15"/>
  <c r="U108" i="15"/>
  <c r="T108" i="15"/>
  <c r="S108" i="15"/>
  <c r="T107" i="15"/>
  <c r="S107" i="15"/>
  <c r="U106" i="15"/>
  <c r="T106" i="15"/>
  <c r="S106" i="15"/>
  <c r="T105" i="15"/>
  <c r="S105" i="15"/>
  <c r="U104" i="15"/>
  <c r="T104" i="15"/>
  <c r="S104" i="15"/>
  <c r="T103" i="15"/>
  <c r="S103" i="15"/>
  <c r="U102" i="15"/>
  <c r="T102" i="15"/>
  <c r="S102" i="15"/>
  <c r="T101" i="15"/>
  <c r="S101" i="15"/>
  <c r="U100" i="15"/>
  <c r="T100" i="15"/>
  <c r="S100" i="15"/>
  <c r="T99" i="15"/>
  <c r="S99" i="15"/>
  <c r="U98" i="15"/>
  <c r="T98" i="15"/>
  <c r="S98" i="15"/>
  <c r="T97" i="15"/>
  <c r="S97" i="15"/>
  <c r="U96" i="15"/>
  <c r="T96" i="15"/>
  <c r="S96" i="15"/>
  <c r="T95" i="15"/>
  <c r="S95" i="15"/>
  <c r="U94" i="15"/>
  <c r="T94" i="15"/>
  <c r="S94" i="15"/>
  <c r="T93" i="15"/>
  <c r="S93" i="15"/>
  <c r="U92" i="15"/>
  <c r="T92" i="15"/>
  <c r="S92" i="15"/>
  <c r="T91" i="15"/>
  <c r="S91" i="15"/>
  <c r="U90" i="15"/>
  <c r="T90" i="15"/>
  <c r="S90" i="15"/>
  <c r="T89" i="15"/>
  <c r="S89" i="15"/>
  <c r="U88" i="15"/>
  <c r="T88" i="15"/>
  <c r="S88" i="15"/>
  <c r="T87" i="15"/>
  <c r="S87" i="15"/>
  <c r="U86" i="15"/>
  <c r="T86" i="15"/>
  <c r="S86" i="15"/>
  <c r="T85" i="15"/>
  <c r="S85" i="15"/>
  <c r="U84" i="15"/>
  <c r="T84" i="15"/>
  <c r="S84" i="15"/>
  <c r="T83" i="15"/>
  <c r="S83" i="15"/>
  <c r="U82" i="15"/>
  <c r="T82" i="15"/>
  <c r="S82" i="15"/>
  <c r="T81" i="15"/>
  <c r="S81" i="15"/>
  <c r="U80" i="15"/>
  <c r="T80" i="15"/>
  <c r="S80" i="15"/>
  <c r="T79" i="15"/>
  <c r="S79" i="15"/>
  <c r="U78" i="15"/>
  <c r="T78" i="15"/>
  <c r="S78" i="15"/>
  <c r="T77" i="15"/>
  <c r="S77" i="15"/>
  <c r="U76" i="15"/>
  <c r="T76" i="15"/>
  <c r="S76" i="15"/>
  <c r="T75" i="15"/>
  <c r="S75" i="15"/>
  <c r="U74" i="15"/>
  <c r="T74" i="15"/>
  <c r="S74" i="15"/>
  <c r="T73" i="15"/>
  <c r="S73" i="15"/>
  <c r="U72" i="15"/>
  <c r="T72" i="15"/>
  <c r="S72" i="15"/>
  <c r="T71" i="15"/>
  <c r="S71" i="15"/>
  <c r="U70" i="15"/>
  <c r="T70" i="15"/>
  <c r="S70" i="15"/>
  <c r="T69" i="15"/>
  <c r="S69" i="15"/>
  <c r="U68" i="15"/>
  <c r="T68" i="15"/>
  <c r="S68" i="15"/>
  <c r="T67" i="15"/>
  <c r="S67" i="15"/>
  <c r="U66" i="15"/>
  <c r="T66" i="15"/>
  <c r="S66" i="15"/>
  <c r="T65" i="15"/>
  <c r="S65" i="15"/>
  <c r="U64" i="15"/>
  <c r="T64" i="15"/>
  <c r="S64" i="15"/>
  <c r="T63" i="15"/>
  <c r="S63" i="15"/>
  <c r="U62" i="15"/>
  <c r="T62" i="15"/>
  <c r="S62" i="15"/>
  <c r="T61" i="15"/>
  <c r="S61" i="15"/>
  <c r="U60" i="15"/>
  <c r="T60" i="15"/>
  <c r="S60" i="15"/>
  <c r="T59" i="15"/>
  <c r="S59" i="15"/>
  <c r="U58" i="15"/>
  <c r="T58" i="15"/>
  <c r="S58" i="15"/>
  <c r="T57" i="15"/>
  <c r="S57" i="15"/>
  <c r="U56" i="15"/>
  <c r="T56" i="15"/>
  <c r="S56" i="15"/>
  <c r="T55" i="15"/>
  <c r="S55" i="15"/>
  <c r="U54" i="15"/>
  <c r="T54" i="15"/>
  <c r="S54" i="15"/>
  <c r="T53" i="15"/>
  <c r="S53" i="15"/>
  <c r="U52" i="15"/>
  <c r="T52" i="15"/>
  <c r="S52" i="15"/>
  <c r="T51" i="15"/>
  <c r="S51" i="15"/>
  <c r="U50" i="15"/>
  <c r="T50" i="15"/>
  <c r="S50" i="15"/>
  <c r="T49" i="15"/>
  <c r="S49" i="15"/>
  <c r="U48" i="15"/>
  <c r="T48" i="15"/>
  <c r="S48" i="15"/>
  <c r="T47" i="15"/>
  <c r="S47" i="15"/>
  <c r="U46" i="15"/>
  <c r="T46" i="15"/>
  <c r="S46" i="15"/>
  <c r="T45" i="15"/>
  <c r="S45" i="15"/>
  <c r="U44" i="15"/>
  <c r="T44" i="15"/>
  <c r="S44" i="15"/>
  <c r="T43" i="15"/>
  <c r="S43" i="15"/>
  <c r="U42" i="15"/>
  <c r="T42" i="15"/>
  <c r="S42" i="15"/>
  <c r="T41" i="15"/>
  <c r="S41" i="15"/>
  <c r="U40" i="15"/>
  <c r="T40" i="15"/>
  <c r="S40" i="15"/>
  <c r="T39" i="15"/>
  <c r="S39" i="15"/>
  <c r="U38" i="15"/>
  <c r="T38" i="15"/>
  <c r="S38" i="15"/>
  <c r="T37" i="15"/>
  <c r="S37" i="15"/>
  <c r="U36" i="15"/>
  <c r="T36" i="15"/>
  <c r="S36" i="15"/>
  <c r="T35" i="15"/>
  <c r="S35" i="15"/>
  <c r="U34" i="15"/>
  <c r="T34" i="15"/>
  <c r="S34" i="15"/>
  <c r="T33" i="15"/>
  <c r="S33" i="15"/>
  <c r="U32" i="15"/>
  <c r="T32" i="15"/>
  <c r="S32" i="15"/>
  <c r="T31" i="15"/>
  <c r="S31" i="15"/>
  <c r="U30" i="15"/>
  <c r="T30" i="15"/>
  <c r="S30" i="15"/>
  <c r="T29" i="15"/>
  <c r="S29" i="15"/>
  <c r="U28" i="15"/>
  <c r="T28" i="15"/>
  <c r="S28" i="15"/>
  <c r="T27" i="15"/>
  <c r="S27" i="15"/>
  <c r="U26" i="15"/>
  <c r="T26" i="15"/>
  <c r="S26" i="15"/>
  <c r="T25" i="15"/>
  <c r="S25" i="15"/>
  <c r="U24" i="15"/>
  <c r="T24" i="15"/>
  <c r="S24" i="15"/>
  <c r="T23" i="15"/>
  <c r="S23" i="15"/>
  <c r="U22" i="15"/>
  <c r="T22" i="15"/>
  <c r="S22" i="15"/>
  <c r="T21" i="15"/>
  <c r="S21" i="15"/>
  <c r="U20" i="15"/>
  <c r="T20" i="15"/>
  <c r="S20" i="15"/>
  <c r="T19" i="15"/>
  <c r="S19" i="15"/>
  <c r="U18" i="15"/>
  <c r="T18" i="15"/>
  <c r="S18" i="15"/>
  <c r="T17" i="15"/>
  <c r="S17" i="15"/>
  <c r="U16" i="15"/>
  <c r="T16" i="15"/>
  <c r="S16" i="15"/>
  <c r="T15" i="15"/>
  <c r="S15" i="15"/>
  <c r="U14" i="15"/>
  <c r="T14" i="15"/>
  <c r="S14" i="15"/>
  <c r="T13" i="15"/>
  <c r="S13" i="15"/>
  <c r="U12" i="15"/>
  <c r="T12" i="15"/>
  <c r="S12" i="15"/>
  <c r="T11" i="15"/>
  <c r="S11" i="15"/>
  <c r="U10" i="15"/>
  <c r="T10" i="15"/>
  <c r="S10" i="15"/>
  <c r="T9" i="15"/>
  <c r="S9" i="15"/>
  <c r="U8" i="15"/>
  <c r="T8" i="15"/>
  <c r="S8" i="15"/>
  <c r="T7" i="15"/>
  <c r="U6" i="15"/>
  <c r="T6" i="15"/>
  <c r="T5" i="15"/>
  <c r="U4" i="15"/>
  <c r="T4" i="15"/>
  <c r="T3" i="15"/>
  <c r="T2" i="15"/>
  <c r="S7" i="14"/>
  <c r="S6" i="14"/>
  <c r="S5" i="14"/>
  <c r="S4" i="14"/>
  <c r="S3" i="14"/>
  <c r="S2" i="14"/>
  <c r="T136" i="15" l="1"/>
  <c r="T138" i="15" s="1"/>
  <c r="T131" i="14" l="1"/>
  <c r="S131" i="14"/>
  <c r="U130" i="14"/>
  <c r="T130" i="14"/>
  <c r="S130" i="14"/>
  <c r="T129" i="14"/>
  <c r="S129" i="14"/>
  <c r="U128" i="14"/>
  <c r="T128" i="14"/>
  <c r="S128" i="14"/>
  <c r="T127" i="14"/>
  <c r="S127" i="14"/>
  <c r="U126" i="14"/>
  <c r="T126" i="14"/>
  <c r="S126" i="14"/>
  <c r="T125" i="14"/>
  <c r="S125" i="14"/>
  <c r="U124" i="14"/>
  <c r="T124" i="14"/>
  <c r="S124" i="14"/>
  <c r="T123" i="14"/>
  <c r="S123" i="14"/>
  <c r="U122" i="14"/>
  <c r="T122" i="14"/>
  <c r="S122" i="14"/>
  <c r="T121" i="14"/>
  <c r="S121" i="14"/>
  <c r="U120" i="14"/>
  <c r="T120" i="14"/>
  <c r="S120" i="14"/>
  <c r="T119" i="14"/>
  <c r="S119" i="14"/>
  <c r="U118" i="14"/>
  <c r="T118" i="14"/>
  <c r="S118" i="14"/>
  <c r="T117" i="14"/>
  <c r="S117" i="14"/>
  <c r="U116" i="14"/>
  <c r="T116" i="14"/>
  <c r="S116" i="14"/>
  <c r="T115" i="14"/>
  <c r="S115" i="14"/>
  <c r="U114" i="14"/>
  <c r="T114" i="14"/>
  <c r="S114" i="14"/>
  <c r="T113" i="14"/>
  <c r="S113" i="14"/>
  <c r="U112" i="14"/>
  <c r="T112" i="14"/>
  <c r="S112" i="14"/>
  <c r="T111" i="14"/>
  <c r="S111" i="14"/>
  <c r="U110" i="14"/>
  <c r="T110" i="14"/>
  <c r="S110" i="14"/>
  <c r="T109" i="14"/>
  <c r="S109" i="14"/>
  <c r="U108" i="14"/>
  <c r="T108" i="14"/>
  <c r="S108" i="14"/>
  <c r="T107" i="14"/>
  <c r="S107" i="14"/>
  <c r="U106" i="14"/>
  <c r="T106" i="14"/>
  <c r="S106" i="14"/>
  <c r="T105" i="14"/>
  <c r="S105" i="14"/>
  <c r="U104" i="14"/>
  <c r="T104" i="14"/>
  <c r="S104" i="14"/>
  <c r="T103" i="14"/>
  <c r="S103" i="14"/>
  <c r="U102" i="14"/>
  <c r="T102" i="14"/>
  <c r="S102" i="14"/>
  <c r="T101" i="14"/>
  <c r="S101" i="14"/>
  <c r="U100" i="14"/>
  <c r="T100" i="14"/>
  <c r="S100" i="14"/>
  <c r="T99" i="14"/>
  <c r="S99" i="14"/>
  <c r="U98" i="14"/>
  <c r="T98" i="14"/>
  <c r="S98" i="14"/>
  <c r="T97" i="14"/>
  <c r="S97" i="14"/>
  <c r="U96" i="14"/>
  <c r="T96" i="14"/>
  <c r="S96" i="14"/>
  <c r="T95" i="14"/>
  <c r="S95" i="14"/>
  <c r="U94" i="14"/>
  <c r="T94" i="14"/>
  <c r="S94" i="14"/>
  <c r="T93" i="14"/>
  <c r="S93" i="14"/>
  <c r="U92" i="14"/>
  <c r="T92" i="14"/>
  <c r="S92" i="14"/>
  <c r="T91" i="14"/>
  <c r="S91" i="14"/>
  <c r="U90" i="14"/>
  <c r="T90" i="14"/>
  <c r="S90" i="14"/>
  <c r="T89" i="14"/>
  <c r="S89" i="14"/>
  <c r="U88" i="14"/>
  <c r="T88" i="14"/>
  <c r="S88" i="14"/>
  <c r="T87" i="14"/>
  <c r="S87" i="14"/>
  <c r="U86" i="14"/>
  <c r="T86" i="14"/>
  <c r="S86" i="14"/>
  <c r="T85" i="14"/>
  <c r="S85" i="14"/>
  <c r="U84" i="14"/>
  <c r="T84" i="14"/>
  <c r="S84" i="14"/>
  <c r="T83" i="14"/>
  <c r="S83" i="14"/>
  <c r="U82" i="14"/>
  <c r="T82" i="14"/>
  <c r="S82" i="14"/>
  <c r="T81" i="14"/>
  <c r="S81" i="14"/>
  <c r="U80" i="14"/>
  <c r="T80" i="14"/>
  <c r="S80" i="14"/>
  <c r="T79" i="14"/>
  <c r="S79" i="14"/>
  <c r="U78" i="14"/>
  <c r="T78" i="14"/>
  <c r="S78" i="14"/>
  <c r="T77" i="14"/>
  <c r="S77" i="14"/>
  <c r="U76" i="14"/>
  <c r="T76" i="14"/>
  <c r="S76" i="14"/>
  <c r="T75" i="14"/>
  <c r="S75" i="14"/>
  <c r="U74" i="14"/>
  <c r="T74" i="14"/>
  <c r="S74" i="14"/>
  <c r="T73" i="14"/>
  <c r="S73" i="14"/>
  <c r="U72" i="14"/>
  <c r="T72" i="14"/>
  <c r="S72" i="14"/>
  <c r="T71" i="14"/>
  <c r="S71" i="14"/>
  <c r="U70" i="14"/>
  <c r="T70" i="14"/>
  <c r="S70" i="14"/>
  <c r="T69" i="14"/>
  <c r="S69" i="14"/>
  <c r="U68" i="14"/>
  <c r="T68" i="14"/>
  <c r="S68" i="14"/>
  <c r="T67" i="14"/>
  <c r="S67" i="14"/>
  <c r="U66" i="14"/>
  <c r="T66" i="14"/>
  <c r="S66" i="14"/>
  <c r="T65" i="14"/>
  <c r="S65" i="14"/>
  <c r="U64" i="14"/>
  <c r="T64" i="14"/>
  <c r="S64" i="14"/>
  <c r="T63" i="14"/>
  <c r="S63" i="14"/>
  <c r="U62" i="14"/>
  <c r="T62" i="14"/>
  <c r="S62" i="14"/>
  <c r="T61" i="14"/>
  <c r="S61" i="14"/>
  <c r="U60" i="14"/>
  <c r="T60" i="14"/>
  <c r="S60" i="14"/>
  <c r="T59" i="14"/>
  <c r="S59" i="14"/>
  <c r="U58" i="14"/>
  <c r="T58" i="14"/>
  <c r="S58" i="14"/>
  <c r="T57" i="14"/>
  <c r="S57" i="14"/>
  <c r="U56" i="14"/>
  <c r="T56" i="14"/>
  <c r="S56" i="14"/>
  <c r="T55" i="14"/>
  <c r="S55" i="14"/>
  <c r="U54" i="14"/>
  <c r="T54" i="14"/>
  <c r="S54" i="14"/>
  <c r="T53" i="14"/>
  <c r="S53" i="14"/>
  <c r="U52" i="14"/>
  <c r="T52" i="14"/>
  <c r="S52" i="14"/>
  <c r="T51" i="14"/>
  <c r="S51" i="14"/>
  <c r="U50" i="14"/>
  <c r="T50" i="14"/>
  <c r="S50" i="14"/>
  <c r="T49" i="14"/>
  <c r="S49" i="14"/>
  <c r="U48" i="14"/>
  <c r="T48" i="14"/>
  <c r="S48" i="14"/>
  <c r="T47" i="14"/>
  <c r="S47" i="14"/>
  <c r="U46" i="14"/>
  <c r="T46" i="14"/>
  <c r="S46" i="14"/>
  <c r="T45" i="14"/>
  <c r="S45" i="14"/>
  <c r="U44" i="14"/>
  <c r="T44" i="14"/>
  <c r="S44" i="14"/>
  <c r="T43" i="14"/>
  <c r="S43" i="14"/>
  <c r="U42" i="14"/>
  <c r="T42" i="14"/>
  <c r="S42" i="14"/>
  <c r="T41" i="14"/>
  <c r="S41" i="14"/>
  <c r="U40" i="14"/>
  <c r="T40" i="14"/>
  <c r="S40" i="14"/>
  <c r="T39" i="14"/>
  <c r="S39" i="14"/>
  <c r="U38" i="14"/>
  <c r="T38" i="14"/>
  <c r="S38" i="14"/>
  <c r="T37" i="14"/>
  <c r="S37" i="14"/>
  <c r="U36" i="14"/>
  <c r="T36" i="14"/>
  <c r="S36" i="14"/>
  <c r="T35" i="14"/>
  <c r="S35" i="14"/>
  <c r="U34" i="14"/>
  <c r="T34" i="14"/>
  <c r="S34" i="14"/>
  <c r="T33" i="14"/>
  <c r="S33" i="14"/>
  <c r="U32" i="14"/>
  <c r="T32" i="14"/>
  <c r="S32" i="14"/>
  <c r="T31" i="14"/>
  <c r="S31" i="14"/>
  <c r="U30" i="14"/>
  <c r="T30" i="14"/>
  <c r="S30" i="14"/>
  <c r="T29" i="14"/>
  <c r="S29" i="14"/>
  <c r="U28" i="14"/>
  <c r="T28" i="14"/>
  <c r="S28" i="14"/>
  <c r="T27" i="14"/>
  <c r="S27" i="14"/>
  <c r="U26" i="14"/>
  <c r="T26" i="14"/>
  <c r="S26" i="14"/>
  <c r="T25" i="14"/>
  <c r="S25" i="14"/>
  <c r="U24" i="14"/>
  <c r="T24" i="14"/>
  <c r="S24" i="14"/>
  <c r="T23" i="14"/>
  <c r="S23" i="14"/>
  <c r="U22" i="14"/>
  <c r="T22" i="14"/>
  <c r="S22" i="14"/>
  <c r="T21" i="14"/>
  <c r="S21" i="14"/>
  <c r="U20" i="14"/>
  <c r="T20" i="14"/>
  <c r="S20" i="14"/>
  <c r="T19" i="14"/>
  <c r="S19" i="14"/>
  <c r="U18" i="14"/>
  <c r="T18" i="14"/>
  <c r="S18" i="14"/>
  <c r="T17" i="14"/>
  <c r="S17" i="14"/>
  <c r="U16" i="14"/>
  <c r="T16" i="14"/>
  <c r="S16" i="14"/>
  <c r="T15" i="14"/>
  <c r="S15" i="14"/>
  <c r="U14" i="14"/>
  <c r="T14" i="14"/>
  <c r="S14" i="14"/>
  <c r="T13" i="14"/>
  <c r="S13" i="14"/>
  <c r="U12" i="14"/>
  <c r="T12" i="14"/>
  <c r="S12" i="14"/>
  <c r="T11" i="14"/>
  <c r="S11" i="14"/>
  <c r="U10" i="14"/>
  <c r="T10" i="14"/>
  <c r="S10" i="14"/>
  <c r="T9" i="14"/>
  <c r="S9" i="14"/>
  <c r="U8" i="14"/>
  <c r="T8" i="14"/>
  <c r="S8" i="14"/>
  <c r="T7" i="14"/>
  <c r="U6" i="14"/>
  <c r="T6" i="14"/>
  <c r="T5" i="14"/>
  <c r="U4" i="14"/>
  <c r="T4" i="14"/>
  <c r="T3" i="14"/>
  <c r="U2" i="14"/>
  <c r="T2" i="14"/>
  <c r="W130" i="12"/>
  <c r="W128" i="12"/>
  <c r="W126" i="12"/>
  <c r="W124" i="12"/>
  <c r="W122" i="12"/>
  <c r="W120" i="12"/>
  <c r="W118" i="12"/>
  <c r="W116" i="12"/>
  <c r="W114" i="12"/>
  <c r="W112" i="12"/>
  <c r="W110" i="12"/>
  <c r="W108" i="12"/>
  <c r="W106" i="12"/>
  <c r="W104" i="12"/>
  <c r="W102" i="12"/>
  <c r="W100" i="12"/>
  <c r="W98" i="12"/>
  <c r="W96" i="12"/>
  <c r="W94" i="12"/>
  <c r="W92" i="12"/>
  <c r="W90" i="12"/>
  <c r="W88" i="12"/>
  <c r="W86" i="12"/>
  <c r="W84" i="12"/>
  <c r="W82" i="12"/>
  <c r="W80" i="12"/>
  <c r="W78" i="12"/>
  <c r="W76" i="12"/>
  <c r="W74" i="12"/>
  <c r="W72" i="12"/>
  <c r="W70" i="12"/>
  <c r="W68" i="12"/>
  <c r="W66" i="12"/>
  <c r="W64" i="12"/>
  <c r="W62" i="12"/>
  <c r="W60" i="12"/>
  <c r="W58" i="12"/>
  <c r="W56" i="12"/>
  <c r="W54" i="12"/>
  <c r="W52" i="12"/>
  <c r="W50" i="12"/>
  <c r="W48" i="12"/>
  <c r="W46" i="12"/>
  <c r="W44" i="12"/>
  <c r="W42" i="12"/>
  <c r="W40" i="12"/>
  <c r="W38" i="12"/>
  <c r="W36" i="12"/>
  <c r="W34" i="12"/>
  <c r="W32" i="12"/>
  <c r="W30" i="12"/>
  <c r="W28" i="12"/>
  <c r="W26" i="12"/>
  <c r="W24" i="12"/>
  <c r="W22" i="12"/>
  <c r="W20" i="12"/>
  <c r="W18" i="12"/>
  <c r="W16" i="12"/>
  <c r="W14" i="12"/>
  <c r="W12" i="12"/>
  <c r="W10" i="12"/>
  <c r="W8" i="12"/>
  <c r="W6" i="12"/>
  <c r="W4" i="12"/>
  <c r="W2" i="12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2" i="12"/>
  <c r="V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3" i="12"/>
  <c r="U2" i="12"/>
</calcChain>
</file>

<file path=xl/sharedStrings.xml><?xml version="1.0" encoding="utf-8"?>
<sst xmlns="http://schemas.openxmlformats.org/spreadsheetml/2006/main" count="6125" uniqueCount="904">
  <si>
    <t>ID</t>
  </si>
  <si>
    <t>ID_pos</t>
  </si>
  <si>
    <t>width</t>
  </si>
  <si>
    <t>n_snps</t>
  </si>
  <si>
    <t>snps</t>
  </si>
  <si>
    <t>snps.pos</t>
  </si>
  <si>
    <t>snps.risk_allele</t>
  </si>
  <si>
    <t>snps.ref_allele</t>
  </si>
  <si>
    <t>trait</t>
  </si>
  <si>
    <t>sequence</t>
  </si>
  <si>
    <t>genes_list</t>
  </si>
  <si>
    <t>cell_type</t>
  </si>
  <si>
    <t>1:17009674_17009974:REF</t>
  </si>
  <si>
    <t>rs9435670</t>
  </si>
  <si>
    <t>A</t>
  </si>
  <si>
    <t>C</t>
  </si>
  <si>
    <t>BALL_Alyssa</t>
  </si>
  <si>
    <t>TGTGAGCCACCACACCCGGCCTCAAGACTCTTTATGAAGAAAAGGTTCTTCAAAAAGAGGGCAGAGTCCCCAGTATGTAAACAGCGGTCCCCCTGGGAAGTTCTTCCTCATGGCAATCGTATGACTGTCACTTCACAATGACACTCTCTCCGTCAACCTTGGCAAAGAGGAAAAGGGGAGTGGAACTTGAGGGAGGAAGTCACAGCTGTGGAAACCTCCAGAGCCCCTCCCTGCAGGGATCAAGCCCAGGGCACTCTCTCCTGCAGTACATCTGTTTATCCCCAGCCACAGCCCAGTCTCC</t>
  </si>
  <si>
    <t>RCC2</t>
  </si>
  <si>
    <t>ProB</t>
  </si>
  <si>
    <t>1:17009674_17009974:RISK</t>
  </si>
  <si>
    <t>TGTGAGCCACCACACCCGGCCTCAAGACTCTTTATGAAGAAAAGGTTCTTCAAAAAGAGGGCAGAGTCCCCAGTATGTAAACAGCGGTCCCCCTGGGAAGTTCTTCCTCATGGCAATCGTATGACTGTCACTTCACAATGACACTCTCTCAGTCAACCTTGGCAAAGAGGAAAAGGGGAGTGGAACTTGAGGGAGGAAGTCACAGCTGTGGAAACCTCCAGAGCCCCTCCCTGCAGGGATCAAGCCCAGGGCACTCTCTCCTGCAGTACATCTGTTTATCCCCAGCCACAGCCCAGTCTCC</t>
  </si>
  <si>
    <t>1:54764012_54764312:REF</t>
  </si>
  <si>
    <t>rs12023572</t>
  </si>
  <si>
    <t>T</t>
  </si>
  <si>
    <t>pedBALL_Alyssa</t>
  </si>
  <si>
    <t>CTACAGTTTCCATCACGAACTGTGCTACATTAAACAGCAATGGAACCCTAGGCCTAGTTCTAAGAACAAGCTCGGCCTTCACTCGCTCGGTGACCCTGGACCACTCACTTCGCCCCGGACCTCCGTTTTCTCCAACATAAAACGGGAAGGCTGGCTCAGGCAGCAGGTGGTCCCAGGGCCTTTCCAGAGCTGGCACTTCGAGAACTGTGTGACTCTCACGACGACCGAGGGAGAGACCAGGAAGTGCTGCCCTCATTTTACAACGGAGGACACGGAGACCAGGAGTATCGAAAAGTTTATG</t>
  </si>
  <si>
    <t>TCEANC2;TMEM59;MIR4781</t>
  </si>
  <si>
    <t>PreB</t>
  </si>
  <si>
    <t>1:54764012_54764312:RISK</t>
  </si>
  <si>
    <t>CTACAGTTTCCATCACGAACTGTGCTACATTAAACAGCAATGGAACCCTAGGCCTAGTTCTAAGAACAAGCTCGGCCTTCACTCGCTCGGTGACCCTGGACCACTCACTTCGCCCCGGACCTCCGTTTTCTCCAACATAAAACGGGAAGGTTGGCTCAGGCAGCAGGTGGTCCCAGGGCCTTTCCAGAGCTGGCACTTCGAGAACTGTGTGACTCTCACGACGACCGAGGGAGAGACCAGGAAGTGCTGCCCTCATTTTACAACGGAGGACACGGAGACCAGGAGTATCGAAAAGTTTATG</t>
  </si>
  <si>
    <t>1:67605267_67605849:REF</t>
  </si>
  <si>
    <t>rs787498;rs787499</t>
  </si>
  <si>
    <t>67605417;67605699</t>
  </si>
  <si>
    <t>T;T</t>
  </si>
  <si>
    <t>C;C</t>
  </si>
  <si>
    <t>pedBALL_ICR</t>
  </si>
  <si>
    <t>GGGCGTGCAAAAATATCGCATTGCTTTCTTTTTAGCTTTAAGATCAGCTCAATCCAACATAAGCCCTCTATCTCTCTGGGCTGATGGGAGATTCGGTCTCAGCTGTCATTGATGCTAACTGCATCTCTAGAAGCAGTATCAGTTCTAGGGCCCATAAGCAGAGAAAAACTTCTTAGTGGTCGCTGCAGGCGTGGATCCCCGCTGGCAGTAGCTAAAATGTGCATCATGTATGCTTTGAGGTCCCAGTGCTCTATTGCATGAGAAGGTGAGTGTAGTCAGCCATGCTAGGTGTGCAATGGCCACTCTATGTGGCACTGCCAGGAAAGGACGCTTCAGTGCCCTGGTGGCCCCTCAGATCACTATCACCTCTGTGCCTCAGAGAATCTGCCTCTGCCACTTAAGTCTCTCTCCCCCACTCCAGGACACACTGCACTGTCTTCTTAATGAATTTTGGCTCTTACAAAAGCCAGGAAGAGAAATTGTCTCTCAGCAGCTTTGGTTCAGCACATGCCCCTGAGGCAGAGGAAACTGGAGGGGCCCAGCAATCCTCTTGAGATGTATGTAGAGAGAGGAGGGCAAAACC</t>
  </si>
  <si>
    <t>GADD45A</t>
  </si>
  <si>
    <t>PreProB;ProB</t>
  </si>
  <si>
    <t>1:67605267_67605849:RISK</t>
  </si>
  <si>
    <t>GGGCGTGCAAAAATATCGCATTGCTTTCTTTTTAGCTTTAAGATCAGCTCAATCCAACATAAGCCCTCTATCTCTCTGGGCTGATGGGAGATTCGGTCTCAGCTGTCATTGATGCTAACTGCATCTCTAGAAGCAGTATCAGTTCTAGGGTCCATAAGCAGAGAAAAACTTCTTAGTGGTCGCTGCAGGCGTGGATCCCCGCTGGCAGTAGCTAAAATGTGCATCATGTATGCTTTGAGGTCCCAGTGCTCTATTGCATGAGAAGGTGAGTGTAGTCAGCCATGCTAGGTGTGCAATGGCCACTCTATGTGGCACTGCCAGGAAAGGACGCTTCAGTGCCCTGGTGGCCCCTCAGATCACTATCACCTCTGTGCCTCAGAGAATCTGCCTCTGCCACTTAAGTCTCTCTCCCCCACTCCAGGACACACTGCATTGTCTTCTTAATGAATTTTGGCTCTTACAAAAGCCAGGAAGAGAAATTGTCTCTCAGCAGCTTTGGTTCAGCACATGCCCCTGAGGCAGAGGAAACTGGAGGGGCCCAGCAATCCTCTTGAGATGTATGTAGAGAGAGGAGGGCAAAACC</t>
  </si>
  <si>
    <t>2:10331160_10331460:REF</t>
  </si>
  <si>
    <t>rs56011627</t>
  </si>
  <si>
    <t>pedBALLhyper_ICR</t>
  </si>
  <si>
    <t>CTGCAGAGGGCGGGGCGGGCTCTGGGGACAGCCTGGACTCTCCTGCCTGCCCCCAGGTGCCCCCGGCCCAGCCACAGGGTGCTGGCTGCCTGTTACTCAGCACGTCCGCCTCTCCTGCCTCCTGAGCCCACAGGCGCCCTTCCTGTCACCTGAGCGCCCTCTCCTTCCTCACCTCGCCACCTACGCATCGTCACCCCTCCTCCTGCGTTTCCTCCTGTCTCCCCGGGGAGCTCGGAGTTCTGCAGGCACGGGGCTGGCTCCTTTCTTCATGTCCCTTGTCCCACAGGACACCGTTTCTGAA</t>
  </si>
  <si>
    <t>HPCAL1;RRM2;ENSG00000285872</t>
  </si>
  <si>
    <t>HSC;PreProB</t>
  </si>
  <si>
    <t>2:10331160_10331460:RISK</t>
  </si>
  <si>
    <t>CTGCAGAGGGCGGGGCGGGCTCTGGGGACAGCCTGGACTCTCCTGCCTGCCCCCAGGTGCCCCCGGCCCAGCCACAGGGTGCTGGCTGCCTGTTACTCAGCACGTCCGCCTCTCCTGCCTCCTGAGCCCACAGGCGCCCTTCCTGTCACCCGAGCGCCCTCTCCTTCCTCACCTCGCCACCTACGCATCGTCACCCCTCCTCCTGCGTTTCCTCCTGTCTCCCCGGGGAGCTCGGAGTTCTGCAGGCACGGGGCTGGCTCCTTTCTTCATGTCCCTTGTCCCACAGGACACCGTTTCTGAA</t>
  </si>
  <si>
    <t>2:105337039_105337339:REF</t>
  </si>
  <si>
    <t>rs2033724</t>
  </si>
  <si>
    <t>CTTCAAGAAACAAATACTTGAATACCTATCTGTCCAAGCAGCCGGGGTTACAGGGAATTCACTACATAAAGCCTCTGGTCTTACATTATATAGAAAGGCGATGAAGAGACAAGAAACAGGTTAAACAGAAAAACACGATAATTTCACACATAACCACTGCCATATTTAAAGCACTGTACACCGGCCCTCGGAGCCAGAATTCTTTCCCTCGAGGTTGCCCCAGGAATCCCTTTGACCTCTGCCATTGGACGTCACAGAAGGCGCGACTAATCGTGGCTGGCTCCCGGAGCTTCACTCTTCC</t>
  </si>
  <si>
    <t>NCK2;UXS1</t>
  </si>
  <si>
    <t>HSC;PreB</t>
  </si>
  <si>
    <t>2:105337039_105337339:RISK</t>
  </si>
  <si>
    <t>CTTCAAGAAACAAATACTTGAATACCTATCTGTCCAAGCAGCCGGGGTTACAGGGAATTCACTACATAAAGCCTCTGGTCTTACATTATATAGAAAGGCGATGAAGAGACAAGAAACAGGTTAAACAGAAAAACACGATAATTTCACACACAACCACTGCCATATTTAAAGCACTGTACACCGGCCCTCGGAGCCAGAATTCTTTCCCTCGAGGTTGCCCCAGGAATCCCTTTGACCTCTGCCATTGGACGTCACAGAAGGCGCGACTAATCGTGGCTGGCTCCCGGAGCTTCACTCTTCC</t>
  </si>
  <si>
    <t>2:145366736_145367036:REF</t>
  </si>
  <si>
    <t>rs17481869</t>
  </si>
  <si>
    <t>CTGCAATGAGTCAAGTGATTGATTTCATAAACTAAATTAGAAACTTTTAAATTTTATTTTATTTTGGCAAAAGCTGGCCTTTTATAAAATGTAAGCATCTGGGCTAGAAACTTTTTGATTTCTTGAATTTATGATTTTCTTTTATGCTTCCCTAGGCCTTAAGTGAAGAAAACAGGAAAGAGGCCTCCCAGAGGTGGAAGTTGTATTGTAAAAAGTGGTCTTATGTTTTAAGATAACTTGTGGGAATGATAGGAAGGATGTGAATAGGCATCCCTTGTTTTTGTGAGTTCGTTTTTTCAGA</t>
  </si>
  <si>
    <t>NA</t>
  </si>
  <si>
    <t>2:145366736_145367036:RISK</t>
  </si>
  <si>
    <t>CTGCAATGAGTCAAGTGATTGATTTCATAAACTAAATTAGAAACTTTTAAATTTTATTTTATTTTGGCAAAAGCTGGCCTTTTATAAAATGTAAGCATCTGGGCTAGAAACTTTTTGATTTCTTGAATTTATGATTTTCTTTTATGCTTCACTAGGCCTTAAGTGAAGAAAACAGGAAAGAGGCCTCCCAGAGGTGGAAGTTGTATTGTAAAAAGTGGTCTTATGTTTTAAGATAACTTGTGGGAATGATAGGAAGGATGTGAATAGGCATCCCTTGTTTTTGTGAGTTCGTTTTTTCAGA</t>
  </si>
  <si>
    <t>2:191151052_191151352:REF</t>
  </si>
  <si>
    <t>rs2278940</t>
  </si>
  <si>
    <t>TTTGCATTTCTCCTCCCACTTGAGGCTTTCCTGTGCGTCAGTGTTCGAGTCTCTGGGACTTTACTTGGGTCAGTTCCCACCCACTCTATTCTAGAAATGCTAACACGCAGAAACTGCCAGGCTGGAGCCCCTTCACCGGGCGTCCTCTTCCCTCTTATCCCTCCCAGCGGCTCTCGCAACTGCAGGTGGCTCAGCAGTGCCAGGAAAAAGGGGAGGGGCGGGGCATACATTTTCTTCAGTGGTTTCCTTAGACAATCTGAGATCCTCTGCAGAGTTACTTACCTGGAGCCCAGTTCTTCAG</t>
  </si>
  <si>
    <t>NABP1</t>
  </si>
  <si>
    <t>HSC;ProB</t>
  </si>
  <si>
    <t>2:191151052_191151352:RISK</t>
  </si>
  <si>
    <t>TTTGCATTTCTCCTCCCACTTGAGGCTTTCCTGTGCGTCAGTGTTCGAGTCTCTGGGACTTTACTTGGGTCAGTTCCCACCCACTCTATTCTAGAAATGCTAACACGCAGAAACTGCCAGGCTGGAGCCCCTTCACCGGGCGTCCTCTTCTCTCTTATCCCTCCCAGCGGCTCTCGCAACTGCAGGTGGCTCAGCAGTGCCAGGAAAAAGGGGAGGGGCGGGGCATACATTTTCTTCAGTGGTTTCCTTAGACAATCTGAGATCCTCTGCAGAGTTACTTACCTGGAGCCCAGTTCTTCAG</t>
  </si>
  <si>
    <t>4:82898867_82899167:REF</t>
  </si>
  <si>
    <t>rs4302451</t>
  </si>
  <si>
    <t>G</t>
  </si>
  <si>
    <t>TCTTAGGTGTGTAATCAGGAAAATGAAAACATTTGTCCACACAAAAACTTGTACACAAATGTTCATAATAGTAAAAAAAAAAATTGGAAAACCCAAATGTCCACCAACTGTTGAACGGATAAACAAAATCTGCTACATCCATAAAATGGAATACGATTCAGCAATAAAAAATAAAGTACTGATACGTGCTATAAGATGGATGAACTCTGAAAACATTCCAAGTGAAAGAAGCCAGTCACAAAGACCATATATTAGTTCATAATTCCACTTACATGAAGTGTACAGAGCAGGCAGAGGCACA</t>
  </si>
  <si>
    <t>COPS4;HELQ;MRPS18C</t>
  </si>
  <si>
    <t>HSC</t>
  </si>
  <si>
    <t>4:82898867_82899167:RISK</t>
  </si>
  <si>
    <t>TCTTAGGTGTGTAATCAGGAAAATGAAAACATTTGTCCACACAAAAACTTGTACACAAATGTTCATAATAGTAAAAAAAAAAATTGGAAAACCCAAATGTCCACCAACTGTTGAACGGATAAACAAAATCTGCTACATCCATAAAATGGAGTACGATTCAGCAATAAAAAATAAAGTACTGATACGTGCTATAAGATGGATGAACTCTGAAAACATTCCAAGTGAAAGAAGCCAGTCACAAAGACCATATATTAGTTCATAATTCCACTTACATGAAGTGTACAGAGCAGGCAGAGGCACA</t>
  </si>
  <si>
    <t>4:82900021_82900321:REF</t>
  </si>
  <si>
    <t>rs2305876</t>
  </si>
  <si>
    <t>TTAATTGCCCCTTGTCCCCTGCCCCTATTACTACTGAGGAGCCCCAAGAACCTTACCTTATTTCCTTCATTGTGGCAAAGTGTTTCAGAAAAGGGTTCCTTGAATTAAAAGTCGGCGTATCCTATTTGACTCCTGCTCCTCCGGTATCACATACCTACAGCCAACCATGCCAAGAGCTTCCCCATTATCTCCGCATCGGAGAGCTACAAGATAAAGCGCAAGAACACGACACGCATCTCAGTAAATCATATATTTTTGGCCCGACTCTGTCTTCAACACACCTAAGGCACCGTGTTTTATC</t>
  </si>
  <si>
    <t>COPS4;HELQ;MRPS18C;COQ2</t>
  </si>
  <si>
    <t>4:82900021_82900321:RISK</t>
  </si>
  <si>
    <t>TTAATTGCCCCTTGTCCCCTGCCCCTATTACTACTGAGGAGCCCCAAGAACCTTACCTTATTTCCTTCATTGTGGCAAAGTGTTTCAGAAAAGGGTTCCTTGAATTAAAAGTCGGCGTATCCTATTTGACTCCTGCTCCTCCGGTATCACGTACCTACAGCCAACCATGCCAAGAGCTTCCCCATTATCTCCGCATCGGAGAGCTACAAGATAAAGCGCAAGAACACGACACGCATCTCAGTAAATCATATATTTTTGGCCCGACTCTGTCTTCAACACACCTAAGGCACCGTGTTTTATC</t>
  </si>
  <si>
    <t>4:82901031_82901331:REF</t>
  </si>
  <si>
    <t>rs982146</t>
  </si>
  <si>
    <t>AATTGGGGCACTGTGAGAATTGAGATTCTCTCTCTTCCCGCCCAGTGTTTACCTCTGAATAGCCGGTTCTCGCACCGCCTACCGCTTTAAGGAGAGTTACGCGAAAGGAGTCCTCCATTAATTGGATGGTCTTATTATTTGAAGTGAGGAGGCCGAAAGGGAAGGCAGTTTAGGACAACGGTTGAAGTGTGTGTGTGGCGTCTTCCTGAGCACGAGTACAGATCAGTTTTCTCCTGTACTGCCTGACATTGCAAGTTCTTAAGTGCTGTTAGCCGAGCTGTGCAAGGCCGGTCCGATTCTG</t>
  </si>
  <si>
    <t>4:82901031_82901331:RISK</t>
  </si>
  <si>
    <t>AATTGGGGCACTGTGAGAATTGAGATTCTCTCTCTTCCCGCCCAGTGTTTACCTCTGAATAGCCGGTTCTCGCACCGCCTACCGCTTTAAGGAGAGTTACGCGAAAGGAGTCCTCCATTAATTGGATGGTCTTATTATTTGAAGTGAGGAAGCCGAAAGGGAAGGCAGTTTAGGACAACGGTTGAAGTGTGTGTGTGGCGTCTTCCTGAGCACGAGTACAGATCAGTTTTCTCCTGTACTGCCTGACATTGCAAGTTCTTAAGTGCTGTTAGCCGAGCTGTGCAAGGCCGGTCCGATTCTG</t>
  </si>
  <si>
    <t>4:82989731_82990031:REF</t>
  </si>
  <si>
    <t>rs6841669</t>
  </si>
  <si>
    <t>GAGACTGTGGCTTTAGAGCAGTAAGCAAAGCTTGCATTTACTTTCATTTTCAAGCATTAACCCCTGCAGCTCAACCAAACTTCTAAGGTTTTGAATCCACCTAAAGCTCTATATCCTTATTGTGGACACCATATGTTCTGCTTTGAGGGCTCCTTAACTCAGCAGCTATAGCCACATTGCCTTTCAGCAGAGCAGGGGCCATGAAGTTGAGTGTACAACAACCAAAGCACCATTCAGGTGGTATGTTTCAATCCTACCTCTCAACTAAGCCTCTAAATTATTCATTAACAGGTAGAACAGT</t>
  </si>
  <si>
    <t>HELQ;MRPS18C</t>
  </si>
  <si>
    <t>4:82989731_82990031:RISK</t>
  </si>
  <si>
    <t>GAGACTGTGGCTTTAGAGCAGTAAGCAAAGCTTGCATTTACTTTCATTTTCAAGCATTAACCCCTGCAGCTCAACCAAACTTCTAAGGTTTTGAATCCACCTAAAGCTCTATATCCTTATTGTGGACACCATATGTTCTGCTTTGAGGGCGCCTTAACTCAGCAGCTATAGCCACATTGCCTTTCAGCAGAGCAGGGGCCATGAAGTTGAGTGTACAACAACCAAAGCACCATTCAGGTGGTATGTTTCAATCCTACCTCTCAACTAAGCCTCTAAATTATTCATTAACAGGTAGAACAGT</t>
  </si>
  <si>
    <t>4:83010384_83010684:REF</t>
  </si>
  <si>
    <t>rs72927138</t>
  </si>
  <si>
    <t>TCCTTGATCCACCGCGCAATTCTTTCCCCACCCACCCCCATCCCCCCAAATAAAGAGATCTCCGGACAGAGAAGCCCTCGGGTACCCCATCCTCCTCTACCTCCAGCGGCTGCCGCTTTCTCCTCCCTCGGGCTCCGAGGTAGGGGCTCCAGAAGGTCCTGGGCAATCCCGAGCCCCGGCGGGGCTTGTTTTGCCCGTGCACGATAGCTCTGGCCAGCAGCTTCCTTTCCCAGTTTGTCCAAACTGGAGCGCTCCAGGGTACCCGGGGACCGAGAAGGGAGCCGGGGTGGCGACGTCGCCG</t>
  </si>
  <si>
    <t>4:83010384_83010684:RISK</t>
  </si>
  <si>
    <t>TCCTTGATCCACCGCGCAATTCTTTCCCCACCCACCCCCATCCCCCCAAATAAAGAGATCTCCGGACAGAGAAGCCCTCGGGTACCCCATCCTCCTCTACCTCCAGCGGCTGCCGCTTTCTCCTCCCTCGGGCTCCGAGGTAGGGGCTCCGGAAGGTCCTGGGCAATCCCGAGCCCCGGCGGGGCTTGTTTTGCCCGTGCACGATAGCTCTGGCCAGCAGCTTCCTTTCCCAGTTTGTCCAAACTGGAGCGCTCCAGGGTACCCGGGGACCGAGAAGGGAGCCGGGGTGGCGACGTCGCCG</t>
  </si>
  <si>
    <t>5:132454574_132454874:REF</t>
  </si>
  <si>
    <t>rs6865438</t>
  </si>
  <si>
    <t>TCTTTCAGCCACTCATGTCTCCTTTACCATTCTCTTTGCCTTTGAGAGTTAATACCATTTGGTTGGTTGGTTGTTTGAGACAGAGTCTCGCCTTGTCACCCAAGCTGGAGTGCAGTGGCACAATCTTGGCTCATTGCAACCTCTGCCTCCTGGGTTCAAGCAATTCTCATATCTCAGCCTCCCGAGTACCTGGGACTACAGGCATGTGCCACCATGCCTGACTACTTTTCGTATTTTTAGTAGAGTCGGGGTTTCACCATGTTGGCCAAGCTGGTCTCGAACTTCTGATCTCAAGTAATCC</t>
  </si>
  <si>
    <t>IRF1;ENSG00000283782</t>
  </si>
  <si>
    <t>5:132454574_132454874:RISK</t>
  </si>
  <si>
    <t>TCTTTCAGCCACTCATGTCTCCTTTACCATTCTCTTTGCCTTTGAGAGTTAATACCATTTGGTTGGTTGGTTGTTTGAGACAGAGTCTCGCCTTGTCACCCAAGCTGGAGTGCAGTGGCACAATCTTGGCTCATTGCAACCTCTGCCTCCCGGGTTCAAGCAATTCTCATATCTCAGCCTCCCGAGTACCTGGGACTACAGGCATGTGCCACCATGCCTGACTACTTTTCGTATTTTTAGTAGAGTCGGGGTTTCACCATGTTGGCCAAGCTGGTCTCGAACTTCTGATCTCAAGTAATCC</t>
  </si>
  <si>
    <t>5:132455522_132455822:REF</t>
  </si>
  <si>
    <t>rs2252405</t>
  </si>
  <si>
    <t>ATGAGGACCCCAGTCATTTTGCTGGGATTCTTTAAACCTTTCTTCGTGGCCGCCTCTGTCCCTGGCTGCCTTTCATCCTATGTATTTGTGGTGAGAGTGCCACATTACAGCACGTTAGCTTCTGATGTACTCTTTTCAAATGGCCAGCCCCGGTGACTCTGCCGGGCATTGTTTGTTTGCCACCCCCCCACACATCCCTGCTCCAGTTGATTTTCTGCTCTTTCCCACTCCTCCCAGGATTTGACCTTTGTGGATTCCATCAGCCAGGCTCCAGGTCCCCAAGCTTCCAGTTGGGTTTGGC</t>
  </si>
  <si>
    <t>5:132455522_132455822:RISK</t>
  </si>
  <si>
    <t>ATGAGGACCCCAGTCATTTTGCTGGGATTCTTTAAACCTTTCTTCGTGGCCGCCTCTGTCCCTGGCTGCCTTTCATCCTATGTATTTGTGGTGAGAGTGCCACATTACAGCACGTTAGCTTCTGATGTACTCTTTTCAAATGGCCAGCCCTGGTGACTCTGCCGGGCATTGTTTGTTTGCCACCCCCCCACACATCCCTGCTCCAGTTGATTTTCTGCTCTTTCCCACTCCTCCCAGGATTTGACCTTTGTGGATTCCATCAGCCAGGCTCCAGGTCCCCAAGCTTCCAGTTGGGTTTGGC</t>
  </si>
  <si>
    <t>5:132455829_132456304:REF</t>
  </si>
  <si>
    <t>rs2522043;rs2522044</t>
  </si>
  <si>
    <t>132455979;132456154</t>
  </si>
  <si>
    <t>A;T</t>
  </si>
  <si>
    <t>T;C</t>
  </si>
  <si>
    <t>AAGACCCCTCCCCTGACCAGAGGTTGGAGGCTGGGAGGGGAAATGGGAGGTGCTTTATCCCCCCAGCTCCCTCCCTTGCCAGGTCTCAGGTCAATAGTGCCTGTGTTTTTCACCCTAAAACCACAGCTCCTGCCGGCAGTCCCCTCCTACTGGTCTCTCTGGGTTCCAGGAGCCCTCCCACCTCCTCCCTGGGGATTGGTGGTCACAGCTCCCACTGTTGCTGGCTGCAGGATGCTTCACCTTTCCTTGAGGGTTTCTCTTCATCTTGCTCACCCTTGGAAACGGTCCTTTCCTCAGTCTCTCCTGTTACCAGTGGAGTGTGCATCTGTTTCCTGCTGGGACTGTGATCAATACAGCAACCTTTTCTGATTTGCATCTAAAACAAGGATACTCAAGCAGAGAGGGTATCAACATTTAAAAAAATAAAACAAGAATAAATAGTCCCTGAGTGAGCCCTGAGAGACTCTCTTAGGCGA</t>
  </si>
  <si>
    <t>LINC02863;IRF1;IRF1-AS1;ENSG00000283782</t>
  </si>
  <si>
    <t>HSC;PreProB;ProB;PreB</t>
  </si>
  <si>
    <t>5:132455829_132456304:RISK</t>
  </si>
  <si>
    <t>AAGACCCCTCCCCTGACCAGAGGTTGGAGGCTGGGAGGGGAAATGGGAGGTGCTTTATCCCCCCAGCTCCCTCCCTTGCCAGGTCTCAGGTCAATAGTGCCTGTGTTTTTCACCCTAAAACCACAGCTCCTGCCGGCAGTCCCCTCCTACAGGTCTCTCTGGGTTCCAGGAGCCCTCCCACCTCCTCCCTGGGGATTGGTGGTCACAGCTCCCACTGTTGCTGGCTGCAGGATGCTTCACCTTTCCTTGAGGGTTTCTCTTCATCTTGCTCACCCTTGGAAACGGTCCTTTCCTCAGTCTCTCCTGTTACCAGTGGAGTGTGCATTTGTTTCCTGCTGGGACTGTGATCAATACAGCAACCTTTTCTGATTTGCATCTAAAACAAGGATACTCAAGCAGAGAGGGTATCAACATTTAAAAAAATAAAACAAGAATAAATAGTCCCTGAGTGAGCCCTGAGAGACTCTCTTAGGCGA</t>
  </si>
  <si>
    <t>5:132464757_132465057:REF</t>
  </si>
  <si>
    <t>rs2522055</t>
  </si>
  <si>
    <t>ACAAACACTGAAAGCAACAGCTGGCAAAGCCATCGCTTGGTAGCAGCTTGGAAGACACCACCAAAGAAGCTCTCATGGAAGCGGCAGATTTCCTGAAGCGACTGGAATGCGGGGAAGGAGGGCAGTCGGGGAGAGCCGAGAACCAGCCCCCCTGCCAACTCCACCCCATTCCTCTCCTCACCTGAAATGTCTCATCCTTAGAACAGCTGCCCTAACCCCCTAATCCCACACACTCCTTTGTAGGTTAAGACCCCTGAAGTTGCACCCTCTCGTAGGAGCTATGTTTTTCAGAGATCCATGT</t>
  </si>
  <si>
    <t>5:132464757_132465057:RISK</t>
  </si>
  <si>
    <t>ACAAACACTGAAAGCAACAGCTGGCAAAGCCATCGCTTGGTAGCAGCTTGGAAGACACCACCAAAGAAGCTCTCATGGAAGCGGCAGATTTCCTGAAGCGACTGGAATGCGGGGAAGGAGGGCAGTCGGGGAGAGCCGAGAACCAGCCCCACTGCCAACTCCACCCCATTCCTCTCCTCACCTGAAATGTCTCATCCTTAGAACAGCTGCCCTAACCCCCTAATCCCACACACTCCTTTGTAGGTTAAGACCCCTGAAGTTGCACCCTCTCGTAGGAGCTATGTTTTTCAGAGATCCATGT</t>
  </si>
  <si>
    <t>6:2970275_2970575:REF</t>
  </si>
  <si>
    <t>rs79723089</t>
  </si>
  <si>
    <t>TAATAAAATGCATTGGAATTGGCCTTAACTTAAAATACTTAGTTTACATAGTCGAGTATGACCAAAGTACTTTTCTCTTTGGTGGCACATCACAATGGATGCAATTACTCAGATACGGTCCTGAAATGAGAACAAACGCCATCTATGCTGATAACAGCAGTCACTGGTGTTAATCCCAGCACACATAAAAGCCCCAGCAATACAAGGCCGGCCCAGGACCTTAACTAGAAGGTCACTGAACACATCAGATCTCATCGCATCAGGCCTGACCCCCACCAGAAAGGATGCAGGCAGCTGCAGG</t>
  </si>
  <si>
    <t>SERPINB1;WRNIP1;MYLK4</t>
  </si>
  <si>
    <t>6:2970275_2970575:RISK</t>
  </si>
  <si>
    <t>TAATAAAATGCATTGGAATTGGCCTTAACTTAAAATACTTAGTTTACATAGTCGAGTATGACCAAAGTACTTTTCTCTTTGGTGGCACATCACAATGGATGCAATTACTCAGATACGGTCCTGAAATGAGAACAAACGCCATCTATGCTGGTAACAGCAGTCACTGGTGTTAATCCCAGCACACATAAAAGCCCCAGCAATACAAGGCCGGCCCAGGACCTTAACTAGAAGGTCACTGAACACATCAGATCTCATCGCATCAGGCCTGACCCCCACCAGAAAGGATGCAGGCAGCTGCAGG</t>
  </si>
  <si>
    <t>6:2971736_2972036:REF</t>
  </si>
  <si>
    <t>rs9503349</t>
  </si>
  <si>
    <t>TGACTTTGACCACAGTACAGGGCCCCACCAGCGTGTTTATGGTGCCTCTGTGGAGACTGAATGCTGGCCTGTTTCCAGAAAAGGGCCGGCTCCTGATACACGGCCATCCACTGGGGAGTGCAGAACACGCATTTAAAAATGAGCAGACTAGATACAGGTCACAAAGACTTTGCTGATGAAACAGCTTGCGGCAAAGAAGCCAGCCAGGGGCGGGCGCGGGGCTCACGCCAGTAATCCCAACACTGGGAGGCCGAGGCAGGCGGATCACTGGAGGTCAGGAGTTCCAGACCAGCCTGGCCAA</t>
  </si>
  <si>
    <t>6:2971736_2972036:RISK</t>
  </si>
  <si>
    <t>TGACTTTGACCACAGTACAGGGCCCCACCAGCGTGTTTATGGTGCCTCTGTGGAGACTGAATGCTGGCCTGTTTCCAGAAAAGGGCCGGCTCCTGATACACGGCCATCCACTGGGGAGTGCAGAACACGCATTTAAAAATGAGCAGACTAAATACAGGTCACAAAGACTTTGCTGATGAAACAGCTTGCGGCAAAGAAGCCAGCCAGGGGCGGGCGCGGGGCTCACGCCAGTAATCCCAACACTGGGAGGCCGAGGCAGGCGGATCACTGGAGGTCAGGAGTTCCAGACCAGCCTGGCCAA</t>
  </si>
  <si>
    <t>6:36962888_36963188:REF</t>
  </si>
  <si>
    <t>rs41272198</t>
  </si>
  <si>
    <t>GGGGTCCTGCTTGCAGCACTCATGCCCGTTCTCGTCTGTCTTATCAGAACCCATCGGAAGCCCGGAAGATGCTCAGGATTTGCCTTACCTGGTAACTGAGGCCCCATCCTTCCGGGCGACTGAAGCATCAGACTCTAGGAAAATGGGTACCCCTTCTTCCCTAGCAACGGGGATTCCGGCTTTCTTGGTAACAGAGGTCTCAGGCTCCCTGGCAACCAAGGCTCTGCCTGCTGTGGAAACCCAGGCCCCAACTTCCTTAGCAACGAAAGACCCGCCCTCCATGGCAACAGAGGCTCCACCT</t>
  </si>
  <si>
    <t>MTCH1</t>
  </si>
  <si>
    <t>6:36962888_36963188:RISK</t>
  </si>
  <si>
    <t>GGGGTCCTGCTTGCAGCACTCATGCCCGTTCTCGTCTGTCTTATCAGAACCCATCGGAAGCCCGGAAGATGCTCAGGATTTGCCTTACCTGGTAACTGAGGCCCCATCCTTCCGGGCGACTGAAGCATCAGACTCTAGGAAAATGGGTACTCCTTCTTCCCTAGCAACGGGGATTCCGGCTTTCTTGGTAACAGAGGTCTCAGGCTCCCTGGCAACCAAGGCTCTGCCTGCTGTGGAAACCCAGGCCCCAACTTCCTTAGCAACGAAAGACCCGCCCTCCATGGCAACAGAGGCTCCACCT</t>
  </si>
  <si>
    <t>6:135114213_135114513:REF</t>
  </si>
  <si>
    <t>rs9483788</t>
  </si>
  <si>
    <t>GTCTATCAAAATTAAACTTTTTTTTCCCTTCAGACTTGTAAGGGCAAAAGTAAAGCAGATAATCCATGTGAGTTCTAGATCATAATAAACAAAAATTCAAATGGGCAATTTATTTTTCTAAGTGACAAGTAAGTATAGATCTACTAAATACAGGATTTGTGGTCATTGCTATATGTAGGTAGGGACCAGATGCTTGGTCACAAGGGATACCGAATGAGAGTGAAAAGCCACTTCTACTATTCAGACACTCAAAAGCATGTGGCATTTGCTGTTTATAAAATGTTTTTCCCTTGTGTGAAAT</t>
  </si>
  <si>
    <t>MYB;ENSG00000224374</t>
  </si>
  <si>
    <t>PreProB;ProB;PreB</t>
  </si>
  <si>
    <t>6:135114213_135114513:RISK</t>
  </si>
  <si>
    <t>GTCTATCAAAATTAAACTTTTTTTTCCCTTCAGACTTGTAAGGGCAAAAGTAAAGCAGATAATCCATGTGAGTTCTAGATCATAATAAACAAAAATTCAAATGGGCAATTTATTTTTCTAAGTGACAAGTAAGTATAGATCTACTAAATATAGGATTTGTGGTCATTGCTATATGTAGGTAGGGACCAGATGCTTGGTCACAAGGGATACCGAATGAGAGTGAAAAGCCACTTCTACTATTCAGACACTCAAAAGCATGTGGCATTTGCTGTTTATAAAATGTTTTTCCCTTGTGTGAAAT</t>
  </si>
  <si>
    <t>7:26397659_26397959:REF</t>
  </si>
  <si>
    <t>rs1229660</t>
  </si>
  <si>
    <t>GAGGGTGGGGGCGGGGGGCTGGCCCGGCCTAAGATGGCTGGGGGTGATGCGTTCGGGGGACAAAGGAGTGCTGGACAGTTGTGTGAGCTGTAAGAAGGACCCGGAAAATACTGCAGAGTGATTGAGAGTGTAGAGGGGCCTGGGTTCTCACCTGTGCTCCCTCCCACCTTAGCTGGGTTATGCTGGGAACCTTTCAAGGCTTTGCTAAGCCTGGGTTTCCAGGAGTGCAATAAGATCGCTGTGATAAACATGTAGGTAAAGCAGTTGGCATAGTACCTTGCGTAGAATAGTCCTCAGCATA</t>
  </si>
  <si>
    <t>LINC02860</t>
  </si>
  <si>
    <t>7:26397659_26397959:RISK</t>
  </si>
  <si>
    <t>GAGGGTGGGGGCGGGGGGCTGGCCCGGCCTAAGATGGCTGGGGGTGATGCGTTCGGGGGACAAAGGAGTGCTGGACAGTTGTGTGAGCTGTAAGAAGGACCCGGAAAATACTGCAGAGTGATTGAGAGTGTAGAGGGGCCTGGGTTCTCATCTGTGCTCCCTCCCACCTTAGCTGGGTTATGCTGGGAACCTTTCAAGGCTTTGCTAAGCCTGGGTTTCCAGGAGTGCAATAAGATCGCTGTGATAAACATGTAGGTAAAGCAGTTGGCATAGTACCTTGCGTAGAATAGTCCTCAGCATA</t>
  </si>
  <si>
    <t>7:50409296_50410139:REF</t>
  </si>
  <si>
    <t>rs10230978;rs10272724;rs17133805;rs62445869;rs17133807</t>
  </si>
  <si>
    <t>50409446;50409515;50409816;50409913;50409989</t>
  </si>
  <si>
    <t>A;C;G;A;A</t>
  </si>
  <si>
    <t>G;T;T;G;G</t>
  </si>
  <si>
    <t>CTCAGGAAAGAGGTGGAGGGTAGGGGATGGTTCTGGGGAGCGTGGGGAGAGGAGAAGCAGGAGGAATTAGGCAAAGGAAATAAGAGGGGCTTTTCCAGATAGGAAAACTCATTGGGGACAGCATCTCAGAATTGTTTTTTTAATTCAAAAGAAGAGGCCCACAAATAGGTTCAACAAAGCCAATGCAATAAGGAAGGGGGCAGAGATGAGACCACTGAGTCAAGTGTTTAGGATGCTGGCAATGACCTTCAAGTGGTGGGTGACAGTGGACTGCAAGGGTGGGCAGAGATGGGCTCTGGAGAGCAGCCGGCAAAGAAGACAGGACCCTGCAATGCAGCCCAGGCCTCATGGAGGCCGATGCTTTGGAAAGGCCAAGTTCTTGGCTGCACTTTTCTAAGGAGAAAGGTAAGAGCCTCATGGGGATACTCCCTTGCTTTTTCTGCTTTTTGACATGGCCAAGACAGGAACAAGGCAGACATCCCTAGAACTCTGTCTCCTGTCCACGTCTGGGATCTGGGCTTCTCAAGGCAGGCTGCATCACCTTCCAGCTCCAGGAGTGGCCCTGCAGGTCCTGGAGCAACAGCCTGGCCCCTGCCCACGCCCCCTCCTCCCTGGCCGCAGGCCCTGGGCCTGGGCTGAGCAGATGGGCCCTGGCAACTCGGTGAATCGGAACTATGGGAAGCAGATGCACCCGCCATGGGTCCCCGGGCACAACTGGAACCTGCTGGGGGAGGGAATTTGCATAATAAGGATAATTTGGTACCAAAACTGTCCCCTGAAGTGAACTGCATGGATCTCGATACAGTTAACAAATTTCACTTCTTCTTTCCCATGTTTTGTCAAA</t>
  </si>
  <si>
    <t>ZPBP;IKZF1;ENSG00000228005;SPATA48</t>
  </si>
  <si>
    <t>PreB;HSC;PreProB;ProB;PreB</t>
  </si>
  <si>
    <t>7:50409296_50410139:RISK</t>
  </si>
  <si>
    <t>CTCAGGAAAGAGGTGGAGGGTAGGGGATGGTTCTGGGGAGCGTGGGGAGAGGAGAAGCAGGAGGAATTAGGCAAAGGAAATAAGAGGGGCTTTTCCAGATAGGAAAACTCATTGGGGACAGCATCTCAGAATTGTTTTTTTAATTCAAAAAAAGAGGCCCACAAATAGGTTCAACAAAGCCAATGCAATAAGGAAGGGGGCAGAGATGAGACCACTGAGCCAAGTGTTTAGGATGCTGGCAATGACCTTCAAGTGGTGGGTGACAGTGGACTGCAAGGGTGGGCAGAGATGGGCTCTGGAGAGCAGCCGGCAAAGAAGACAGGACCCTGCAATGCAGCCCAGGCCTCATGGAGGCCGATGCTTTGGAAAGGCCAAGTTCTTGGCTGCACTTTTCTAAGGAGAAAGGTAAGAGCCTCATGGGGATACTCCCTTGCTTTTTCTGCTTTTTGACATGGCCAAGACAGGAACAAGGCAGACATCCCTAGAACTCTGTCTCCTGTCCACGTCTGGGATCTGGGCTGCTCAAGGCAGGCTGCATCACCTTCCAGCTCCAGGAGTGGCCCTGCAGGTCCTGGAGCAACAGCCTGGCCCCTGCCCACGCCCCCTCCTCCCTGGCCACAGGCCCTGGGCCTGGGCTGAGCAGATGGGCCCTGGCAACTCGGTGAATCGGAACTATGGGAAGCAGATGCACCCACCATGGGTCCCCGGGCACAACTGGAACCTGCTGGGGGAGGGAATTTGCATAATAAGGATAATTTGGTACCAAAACTGTCCCCTGAAGTGAACTGCATGGATCTCGATACAGTTAACAAATTTCACTTCTTCTTTCCCATGTTTTGTCAAA</t>
  </si>
  <si>
    <t>7:128406943_128407508:REF</t>
  </si>
  <si>
    <t>rs34848853;rs13242340</t>
  </si>
  <si>
    <t>128407093;128407358</t>
  </si>
  <si>
    <t>A;A</t>
  </si>
  <si>
    <t>pedBALLer_ICR</t>
  </si>
  <si>
    <t>CCAGCAAGATCCAGATTTCTACATGGGGGCAGTGACTGGGTACAGATAGGTTCACATGGGGAAAGGTGGGGTGGTAGGAAGTAGATCCCCTTCCCTCTTATGGGACCAGAACTGCCAGTGCTCTTCCCAGACCAAGAGTGGGTCCCCCCACCCAGACTCCACAGCCTCCTCCCTGTGTCCTCCTGTGGCTCCCACAGCTCACTTGGGGAGAAGAGAATAAGGTGGTGTGGGACACAGTCCCCTCCCTGGCTTGGTGGCTGGCTGTGGCCCTGGGAGGCTGGGTTTATTTACTTCTCAGCAGTGTGATGGCAGCTAGGCCCAGGGGAGGCTTGGCCTCCAAGCCACGAGGTTCCCTGGGATGCCCAGCCTCCCCCATTGATGCCCCCGGGACCCTGCCAGGAAAACACAGACTGTTCCATCTGTGTGCAGAGGGGAGGCTGGGGCCGGATTGCCAGCGATGTGTGGGAAGCACCTCTGAACCTTCAGCATTCTTGGGCTCATGCAGGGAGCCCGGGCCACATGGGGGACCAGGGGAGCGTCCTGAGGAGCACCAGCACTAGGACCTT</t>
  </si>
  <si>
    <t>ARF5;FSCN3;ATP6V1F;FLNC-AS1;ATP6V1FNB</t>
  </si>
  <si>
    <t>PreProB</t>
  </si>
  <si>
    <t>7:128406943_128407508:RISK</t>
  </si>
  <si>
    <t>CCAGCAAGATCCAGATTTCTACATGGGGGCAGTGACTGGGTACAGATAGGTTCACATGGGGAAAGGTGGGGTGGTAGGAAGTAGATCCCCTTCCCTCTTATGGGACCAGAACTGCCAGTGCTCTTCCCAGACCAAGAGTGGGTCCCCCCAACCAGACTCCACAGCCTCCTCCCTGTGTCCTCCTGTGGCTCCCACAGCTCACTTGGGGAGAAGAGAATAAGGTGGTGTGGGACACAGTCCCCTCCCTGGCTTGGTGGCTGGCTGTGGCCCTGGGAGGCTGGGTTTATTTACTTCTCAGCAGTGTGATGGCAGCTAGGCCCAGGGGAGGCTTGGCCTCCAAGCCACGAGGTTCCCTGGGATGCCCAGCCTCCCCCATTGATGCCCCCGGGACCCTGCCAGGAAAACACAGACTGTTACATCTGTGTGCAGAGGGGAGGCTGGGGCCGGATTGCCAGCGATGTGTGGGAAGCACCTCTGAACCTTCAGCATTCTTGGGCTCATGCAGGGAGCCCGGGCCACATGGGGGACCAGGGGAGCGTCCTGAGGAGCACCAGCACTAGGACCTT</t>
  </si>
  <si>
    <t>7:140478604_140478904:REF</t>
  </si>
  <si>
    <t>rs111862082</t>
  </si>
  <si>
    <t>GGGCGGAGGATGGGGGGCGGAGGGACGGAGGGACGTGAAAAGACGTTACAAACGGATGGCACGGAGAGAGGAGAGGGCCGGGAGCCAGGCAAGCTCGCTGGGGCCCTCGGCGGGGTGTCTAGGCCCGGAGAGGATCGCTGGGAGACCGGCTTCAAGTGACCACCTCCCGAGCCCCGGGAGCCGGAGGCAGCGGCGGGGGCATCCTTCCAGCGGCAGGGGAGGAGCCAGCCCACCTCTCCCCGATGCGCTCGCAGCCAGCTCAGGCAGCGCTCAGGGAAGTGTAAGCGGCGGTGCAGCCCCG</t>
  </si>
  <si>
    <t>KDM7A;MRPS33;BRAF;KDM7A-DT</t>
  </si>
  <si>
    <t>7:140478604_140478904:RISK</t>
  </si>
  <si>
    <t>GGGCGGAGGATGGGGGGCGGAGGGACGGAGGGACGTGAAAAGACGTTACAAACGGATGGCACGGAGAGAGGAGAGGGCCGGGAGCCAGGCAAGCTCGCTGGGGCCCTCGGCGGGGTGTCTAGGCCCGGAGAGGATCGCTGGGAGACCGGCCTCAAGTGACCACCTCCCGAGCCCCGGGAGCCGGAGGCAGCGGCGGGGGCATCCTTCCAGCGGCAGGGGAGGAGCCAGCCCACCTCTCCCCGATGCGCTCGCAGCCAGCTCAGGCAGCGCTCAGGGAAGTGTAAGCGGCGGTGCAGCCCCG</t>
  </si>
  <si>
    <t>7:150443524_150444003:REF</t>
  </si>
  <si>
    <t>rs7806921;rs7807213</t>
  </si>
  <si>
    <t>150443674;150443853</t>
  </si>
  <si>
    <t>T;G</t>
  </si>
  <si>
    <t>GTGTTGGCAGGAACCTGAAGGTGTTGGAAGGGGTTGAGGGTAACGCATAGCCTGTGCTAGAATATGTGGGGGAATGTCCACAGGAGACGGGATGGAAGAGAGAGAAGAGGACGCCCCTGCTTCCAGGGGCAAGTGGGTACAACCAGAGGATGGGACAATGTTCCCCTGGAGAATGGCCCAGGCTCCATCTAGACCTGGCTGGTCCCAGTCCCAGGCTTGTCCTAGGTCCTTGGCATCCGTGCTGGTAGCAACCCCAGGGCCACCCTCAGCGTCTCATGACGTCTACCCTTCTCTGGCCCCTGTAGAAATTATGTTCAAGAGAAAACACCGGGGGGGTCACAATGATAACAATAACACCACCACCTGTGCCCCGTGGGTGTGAGGCTGTCATGGAGAAAGCAGAGCTCCTGAAGGGGCCTCAGCTGAGAAACGGCTAGAATTTCCTGTGTGGGTTGTGGGGAGTGACTATGGAATTCAGAG</t>
  </si>
  <si>
    <t>AOC1;GIMAP6;GIMAP1;GIMAP1-GIMAP5;GIMAP5</t>
  </si>
  <si>
    <t>HSC;PreProB;ProB</t>
  </si>
  <si>
    <t>7:150443524_150444003:RISK</t>
  </si>
  <si>
    <t>GTGTTGGCAGGAACCTGAAGGTGTTGGAAGGGGTTGAGGGTAACGCATAGCCTGTGCTAGAATATGTGGGGGAATGTCCACAGGAGACGGGATGGAAGAGAGAGAAGAGGACGCCCCTGCTTCCAGGGGCAAGTGGGTACAACCAGAGGACGGGACAATGTTCCCCTGGAGAATGGCCCAGGCTCCATCTAGACCTGGCTGGTCCCAGTCCCAGGCTTGTCCTAGGTCCTTGGCATCCGTGCTGGTAGCAACCCCAGGGCCACCCTCAGCGTCTCATGACGTCTACCCTTCTCTGGCCCCTGTAGAAATTATGTTCAAGAGAAAACACCCGGGGGGTCACAATGATAACAATAACACCACCACCTGTGCCCCGTGGGTGTGAGGCTGTCATGGAGAAAGCAGAGCTCCTGAAGGGGCCTCAGCTGAGAAACGGCTAGAATTTCCTGTGTGGGTTGTGGGGAGTGACTATGGAATTCAGAG</t>
  </si>
  <si>
    <t>8:129172780_129173080:REF</t>
  </si>
  <si>
    <t>rs75777619</t>
  </si>
  <si>
    <t>TCCTACTTAGAGAACATGAATGTTGAAGGAAGAAAGCTGAACTCAGTCATCATGTCCAAGGAGGCGGTGTGAGCTGCGATACAGAAAGCCAGTGAGTAGGGAAGTGGAGTGTTTCCTGACGGTTGAATGTATGGTATGCACCTGGGTCATATGGGTTTAAGGGTTCAGGCCCAGGATGGGTATTTTTTTTTCTTCCATTTTTGGTTCCTTTTTTTGTCTTTGAGTCAGTCAAGAACAACCAAAGCAATCTCCATGTTATTTTTCAAATAGCCCTTTTCCCCTTTCTTTGTCATTATAATAA</t>
  </si>
  <si>
    <t>MYC;CASC11</t>
  </si>
  <si>
    <t>8:129172780_129173080:RISK</t>
  </si>
  <si>
    <t>TCCTACTTAGAGAACATGAATGTTGAAGGAAGAAAGCTGAACTCAGTCATCATGTCCAAGGAGGCGGTGTGAGCTGCGATACAGAAAGCCAGTGAGTAGGGAAGTGGAGTGTTTCCTGACGGTTGAATGTATGGTATGCACCTGGGTCATGTGGGTTTAAGGGTTCAGGCCCAGGATGGGTATTTTTTTTTCTTCCATTTTTGGTTCCTTTTTTTGTCTTTGAGTCAGTCAAGAACAACCAAAGCAATCTCCATGTTATTTTTCAAATAGCCCTTTTCCCCTTTCTTTGTCATTATAATAA</t>
  </si>
  <si>
    <t>8:130042805_130043105:REF</t>
  </si>
  <si>
    <t>rs7813123</t>
  </si>
  <si>
    <t>ACTAGGGCCAAAAGGCTGTTTCCCCTAGACAGGAGACAAATAAACGACACTTTCTCTTGCTTTCGGCTGATGGCAAACTTCTTACTGGCCCAACAGGCTGAGAATCATTTCTGCTTGTCTCTGCTTTAGTAATAATAAAAGCAAAAGCAGTGATATTTTGCCCTTTCTCCCTCTCCATTGCCCTAAAAGAGCAGTTTCAGGCTTCCTCTACTAAAAGCATATGATCATTGACCAGTTATGATCAAAAAAGTGAAAAGAAAAAAAGCAGTTATAAGCCATTAAGAATGCTCTGGGTCAGGTA</t>
  </si>
  <si>
    <t>RNU6-1255P</t>
  </si>
  <si>
    <t>8:130042805_130043105:RISK</t>
  </si>
  <si>
    <t>ACTAGGGCCAAAAGGCTGTTTCCCCTAGACAGGAGACAAATAAACGACACTTTCTCTTGCTTTCGGCTGATGGCAAACTTCTTACTGGCCCAACAGGCTGAGAATCATTTCTGCTTGTCTCTGCTTTAGTAATAATAAAAGCAAAAGCAGGGATATTTTGCCCTTTCTCCCTCTCCATTGCCCTAAAAGAGCAGTTTCAGGCTTCCTCTACTAAAAGCATATGATCATTGACCAGTTATGATCAAAAAAGTGAAAAGAAAAAAAGCAGTTATAAGCCATTAAGAATGCTCTGGGTCAGGTA</t>
  </si>
  <si>
    <t>10:61961267_61961567:REF</t>
  </si>
  <si>
    <t>rs7090445</t>
  </si>
  <si>
    <t>TAATGGTGAAGGTAAATATATAATCCTTAAAATAAAAAATATGTTTATCCATGTACCACCTAACATTGACTTGGGTACCGCTAGTGTATACCACAGTTAAGTCATTTCCTTTGAGGCTTTTCTCTTGGGCAACAGCCTAACCTAGGTTATTGATAGCTTTGAGACCTTCTGAGACCATGCAAGCCTCGTGTCAACAACAAGCTAGAAAGGGTTGGAACCGGTTGCGCTGAATTAATCTATAGGCTCAGAAGTGTAACTGCCACACAGATGTGAAGTCTGAAAATAACCCACCGTGCACCTG</t>
  </si>
  <si>
    <t>ARID5B</t>
  </si>
  <si>
    <t>10:61961267_61961567:RISK</t>
  </si>
  <si>
    <t>TAATGGTGAAGGTAAATATATAATCCTTAAAATAAAAAATATGTTTATCCATGTACCACCTAACATTGACTTGGGTACCGCTAGTGTATACCACAGTTAAGTCATTTCCTTTGAGGCTTTTCTCTTGGGCAACAGCCTAACCTAGGTTATCGATAGCTTTGAGACCTTCTGAGACCATGCAAGCCTCGTGTCAACAACAAGCTAGAAAGGGTTGGAACCGGTTGCGCTGAATTAATCTATAGGCTCAGAAGTGTAACTGCCACACAGATGTGAAGTCTGAAAATAACCCACCGTGCACCTG</t>
  </si>
  <si>
    <t>10:61964481_61964781:REF</t>
  </si>
  <si>
    <t>rs7896246</t>
  </si>
  <si>
    <t>CTTCAAAATGCACCAACTAAAAATAGTTTCATCTGCAGTGTGAACATAGTTTCATATTTATACTAGCATCTGGCCTAAGGAATTGAATACTCCATTCTTTAAATAGCTTCACTCCAGCTCTGGAATACTCTGAGAAGAAAATCTCCCCCAGTCAAACACCTTGTTTACATAGGCATGCTTAAATGCAAACAAGCTCCCTTTTTAAAATGCAGAAGAATATTAATTTGTGAGGCAATGGTGCTTTGGGGTAGTTTTTTGGTGAGTGAAAGTAAAGGGGTTAAGTAGAGAATGAATTTTTTAA</t>
  </si>
  <si>
    <t>10:61964481_61964781:RISK</t>
  </si>
  <si>
    <t>CTTCAAAATGCACCAACTAAAAATAGTTTCATCTGCAGTGTGAACATAGTTTCATATTTATACTAGCATCTGGCCTAAGGAATTGAATACTCCATTCTTTAAATAGCTTCACTCCAGCTCTGGAATACTCTGAGAAGAAAATCTCCCCCAATCAAACACCTTGTTTACATAGGCATGCTTAAATGCAAACAAGCTCCCTTTTTAAAATGCAGAAGAATATTAATTTGTGAGGCAATGGTGCTTTGGGGTAGTTTTTTGGTGAGTGAAAGTAAAGGGGTTAAGTAGAGAATGAATTTTTTAA</t>
  </si>
  <si>
    <t>10:124603936_124604319:REF</t>
  </si>
  <si>
    <t>rs12779301;rs12779515</t>
  </si>
  <si>
    <t>124604086;124604169</t>
  </si>
  <si>
    <t>GGCCCGGGCCTGGGGCTGGAGTGCTGGGCTCAGGTGCCATGTGAGCTCTTTGCAGGCAGGGACCAGGTCAGAGTCCTTTGTGTGCCTCTTGACCCCCAGGTCCTGGGAGAAGAGGGGCTTGGGAGGCCTTGGCTGGATGCACAGGCTCCATGGGAAGGAGCTCCTGCTCGGGTTTCTTTGTAAGCAGCACGACATGGCACCTTCCCAGAGGTACATGGGTCTGGGCATGTCATTCCCCGACCTGCTTCCAGAACCCAGGGGACGGAGGTCGGAGCAGCCTGCCTGAGATCTGTGGCCATCTCCACTCCGCCACCCAGCTACCCCGTAAGGAGGCCACCGACCCTCGGGCACCTGCCAGGGACCCAGCTCAGGCCAGGTCACGGG</t>
  </si>
  <si>
    <t>FAM53B</t>
  </si>
  <si>
    <t>10:124603936_124604319:RISK</t>
  </si>
  <si>
    <t>GGCCCGGGCCTGGGGCTGGAGTGCTGGGCTCAGGTGCCATGTGAGCTCTTTGCAGGCAGGGACCAGGTCAGAGTCCTTTGTGTGCCTCTTGACCCCCAGGTCCTGGGAGAAGAGGGGCTTGGGAGGCCTTGGCTGGATGCACAGGCTCCACGGGAAGGAGCTCCTGCTCGGGTTTCTTTGTAAGCAGCACGACATGGCACCTTCCCAGAGGTACATGGGTCTGGGCATGTCATCCCCCGACCTGCTTCCAGAACCCAGGGGACGGAGGTCGGAGCAGCCTGCCTGAGATCTGTGGCCATCTCCACTCCGCCACCCAGCTACCCCGTAAGGAGGCCACCGACCCTCGGGCACCTGCCAGGGACCCAGCTCAGGCCAGGTCACGGG</t>
  </si>
  <si>
    <t>10:124605565_124606061:REF</t>
  </si>
  <si>
    <t>rs12771808;rs12777136</t>
  </si>
  <si>
    <t>124605715;124605911</t>
  </si>
  <si>
    <t>TCAAGAGCATTCCAGGGCACAGCATGGGCAATGGCAGGGAGAGCTGGGATGTCTGAAGAGCAGCAGCCCAGACACTGAGTGGCTGGCGAGGCGAGGGAGGTCCGCAGGTGGGGCCCAGTCAGGATGGACTCATCTGCCATGCTGAGGAGCCAGGCTATGATGTGGGCAATAGGGAGCCACAGCAGTTTACACAGGGGAGGCGGGAGCAGCTGAGCATTTAGGGAAGCCACTCTGGCTGCAAAAGAGGAGAGGGGGCCAGGCAGGAGGGAGAGCCAGTGGAGGGGGAGGGGGAAGGGGAAGGGAACAGGCTTCAGCAGAAGACCTCCTGCCTTCAAGGGGCCCGGGTCACCCTGTGGGTTCCGGTGGTTAAGGCCAGCCTCCTGGTCCTGCAGCCACATGCCTCCCAGCTGTGTGCCTCCGCTTCTACCTCCGAAACCCGGGCAGCAGGACCCACCCTGCAGGCTCCTGCGCAAGGATGGGGGAGGTACCTGGAGGGC</t>
  </si>
  <si>
    <t>10:124605565_124606061:RISK</t>
  </si>
  <si>
    <t>TCAAGAGCATTCCAGGGCACAGCATGGGCAATGGCAGGGAGAGCTGGGATGTCTGAAGAGCAGCAGCCCAGACACTGAGTGGCTGGCGAGGCGAGGGAGGTCCGCAGGTGGGGCCCAGTCAGGATGGACTCATCTGCCATGCTGAGGAGCTAGGCTATGATGTGGGCAATAGGGAGCCACAGCAGTTTACACAGGGGAGGCGGGAGCAGCTGAGCATTTAGGGAAGCCACTCTGGCTGCAAAAGAGGAGAGGGGGCCAGGCAGGAGGGAGAGCCAGTGGAGGGGGAGGGGGAAGGGGAAGGGAACAGGCTTCAGCAGAAGACCTCCTGCCTTCAAGGGGCCCGGGTTACCCTGTGGGTTCCGGTGGTTAAGGCCAGCCTCCTGGTCCTGCAGCCACATGCCTCCCAGCTGTGTGCCTCCGCTTCTACCTCCGAAACCCGGGCAGCAGGACCCACCCTGCAGGCTCCTGCGCAAGGATGGGGGAGGTACCTGGAGGGC</t>
  </si>
  <si>
    <t>10:124606836_124607136:REF</t>
  </si>
  <si>
    <t>rs7923479</t>
  </si>
  <si>
    <t>AGAACCGTGGGGGCAGCCCCAGCCCTTCCCTGCCTGTTACAGGCCCCTGCCCCTGTTCCTGTGTCCCATGCCTGTCCCCTCCCTCCATGTGTCTGTCTCTACTCGCCTGCCCTCTCTCTGCCCTCTTTTCTCTGCTTCATCCTCTTTTTCCGTTTCTGCCTGTCTCATGGTTCTTCCTGTCCCTGCCCTCCCTCCCTCCGTGTGTGGCCGTGTCTCTCTGTCTGTCTCTTCCTCCTCCTCCAGCTCTGTCCCAGTAGGGCCACTCCGGGCAGGATGGTCTGCGGCCCCTCCTGCTTCACCC</t>
  </si>
  <si>
    <t>10:124606836_124607136:RISK</t>
  </si>
  <si>
    <t>AGAACCGTGGGGGCAGCCCCAGCCCTTCCCTGCCTGTTACAGGCCCCTGCCCCTGTTCCTGTGTCCCATGCCTGTCCCCTCCCTCCATGTGTCTGTCTCTACTCGCCTGCCCTCTCTCTGCCCTCTTTTCTCTGCTTCATCCTCTTTTTCTGTTTCTGCCTGTCTCATGGTTCTTCCTGTCCCTGCCCTCCCTCCCTCCGTGTGTGGCCGTGTCTCTCTGTCTGTCTCTTCCTCCTCCTCCAGCTCTGTCCCAGTAGGGCCACTCCGGGCAGGATGGTCTGCGGCCCCTCCTGCTTCACCC</t>
  </si>
  <si>
    <t>11:57571738_57572038:REF</t>
  </si>
  <si>
    <t>rs10792106</t>
  </si>
  <si>
    <t>AGAGAATTTCCTGCTTCTTTTGATCCTCGTGCTTACCCCACACCCCCCCTTCCTCTGGGTTAGTCTCACACACACACACACACACACACCCCTCCTGTACCATGAGCCCTGCCCTTGTGGTTGAGGTGGAGGGATGGATAGAGGCAATCAAGGAGTCAGGGAGTCCCAGGAGGGGAGCTGGGGGTATTCTTGCCACAAGAGCAGGAAGGTGGCCTGATGAGTGAAGGACCTGCTTCCTCAGTGGGGCTCAACCACTCACTGACTTCCTTGTTGTGGGACTTTGGACATGAGAAGTAACAGT</t>
  </si>
  <si>
    <t>YPEL4;CLP1;MIR130A;ENSG00000254602</t>
  </si>
  <si>
    <t>11:57571738_57572038:RISK</t>
  </si>
  <si>
    <t>AGAGAATTTCCTGCTTCTTTTGATCCTCGTGCTTACCCCACACCCCCCCTTCCTCTGGGTTAGTCTCACACACACACACACACACACACCCCTCCTGTACCATGAGCCCTGCCCTTGTGGTTGAGGTGGAGGGATGGATAGAGGCAATCATGGAGTCAGGGAGTCCCAGGAGGGGAGCTGGGGGTATTCTTGCCACAAGAGCAGGAAGGTGGCCTGATGAGTGAAGGACCTGCTTCCTCAGTGGGGCTCAACCACTCACTGACTTCCTTGTTGTGGGACTTTGGACATGAGAAGTAACAGT</t>
  </si>
  <si>
    <t>11:128568380_128568680:REF</t>
  </si>
  <si>
    <t>rs7944145</t>
  </si>
  <si>
    <t>ACTGGGCTTGCAAGGGACTTCCAGGCTCACAGCGGGCTTGGGCTTGCAGAGGCAGCATAACAGGAAGGAGCACTTCCTCCCCATGGATGAAAGGGTCCCTGACACACAGCCCATAGAAGTACCTGGAAAGGTCATCCCTCCCACACAATGGCCAGACAACTTCCCAAAGTGTTGCTTCTCCACCTCCCCACTGTGACACCACCTCATTCATTATGGCCTCCTGAAGGGCTGACCTTACGCATGGGGAAACCATGAGTCCTGCTTTTGAGAAACTGACGCTGAGGCAGAGAATGTGAATTCT</t>
  </si>
  <si>
    <t>ETS1</t>
  </si>
  <si>
    <t>11:128568380_128568680:RISK</t>
  </si>
  <si>
    <t>ACTGGGCTTGCAAGGGACTTCCAGGCTCACAGCGGGCTTGGGCTTGCAGAGGCAGCATAACAGGAAGGAGCACTTCCTCCCCATGGATGAAAGGGTCCCTGACACACAGCCCATAGAAGTACCTGGAAAGGTCATCCCTCCCACACAATGACCAGACAACTTCCCAAAGTGTTGCTTCTCCACCTCCCCACTGTGACACCACCTCATTCATTATGGCCTCCTGAAGGGCTGACCTTACGCATGGGGAAACCATGAGTCCTGCTTTTGAGAAACTGACGCTGAGGCAGAGAATGTGAATTCT</t>
  </si>
  <si>
    <t>12:93590815_93591115:REF</t>
  </si>
  <si>
    <t>rs7972755</t>
  </si>
  <si>
    <t>AAAAAAAAGTTAGCTTCCCAGTGTACACATGAAAAGTACAATCCTTTTCTTCATTTATATTATAATTATTTGAAGAGCAAATTAGGTATTGTTAGTGAAGAAATGAGAGTGATTACCTGGTAATATGATGAGTTACTTTTTCTTTAAACTTACTGGCTTTTCCCTTAACACTAATGGTCTGGATAACAAGTTTTTACTTGTTGGCAGTGCAGTTTAGCCTCCGAACACTCTTGGAACAAAATGACTAATTTTTTTTAACGCTTTATTGAAATATAAATTTTAGGAGAGTAAACATTTTCGA</t>
  </si>
  <si>
    <t>ENSG00000258274</t>
  </si>
  <si>
    <t>12:93590815_93591115:RISK</t>
  </si>
  <si>
    <t>AAAAAAAAGTTAGCTTCCCAGTGTACACATGAAAAGTACAATCCTTTTCTTCATTTATATTATAATTATTTGAAGAGCAAATTAGGTATTGTTAGTGAAGAAATGAGAGTGATTACCTGGTAATATGATGAGTTACTTTTTCTTTAAACTCACTGGCTTTTCCCTTAACACTAATGGTCTGGATAACAAGTTTTTACTTGTTGGCAGTGCAGTTTAGCCTCCGAACACTCTTGGAACAAAATGACTAATTTTTTTTAACGCTTTATTGAAATATAAATTTTAGGAGAGTAAACATTTTCGA</t>
  </si>
  <si>
    <t>12:96192693_96192993:REF</t>
  </si>
  <si>
    <t>rs7132101</t>
  </si>
  <si>
    <t>CCTCTTTTCCATATCTTCTCCTTCTGCCCCACTCTCCTACCGTGCCCCCACCCTACACCCCACGGGTTTCCCACTCCTTCTCAGAGGTCTGGAGGGCATTCTCCCACCCTTTCCAGTGGACTACCCACAGGAGCCCTGAAGCAAATGCCCGAAGGAAATTCCTATCACCTGTGTGCTCTGATAGGCACTTGGAGCTGGGATGTGGTACTAATCAGTAAAACATACCCCGTGCCCTTTAGCAGCTCACAGTTGATGGCAGTGAGAAATTTGTAAACAAAATAATCTTTCAGGAGAGACTGCA</t>
  </si>
  <si>
    <t>CDK17;LTA4H;CFAP54</t>
  </si>
  <si>
    <t>12:96192693_96192993:RISK</t>
  </si>
  <si>
    <t>CCTCTTTTCCATATCTTCTCCTTCTGCCCCACTCTCCTACCGTGCCCCCACCCTACACCCCACGGGTTTCCCACTCCTTCTCAGAGGTCTGGAGGGCATTCTCCCACCCTTTCCAGTGGACTACCCACAGGAGCCCTGAAGCAAATGCCCAAAGGAAATTCCTATCACCTGTGTGCTCTGATAGGCACTTGGAGCTGGGATGTGGTACTAATCAGTAAAACATACCCCGTGCCCTTTAGCAGCTCACAGTTGATGGCAGTGAGAAATTTGTAAACAAAATAATCTTTCAGGAGAGACTGCA</t>
  </si>
  <si>
    <t>12:96198160_96198460:REF</t>
  </si>
  <si>
    <t>rs7955113</t>
  </si>
  <si>
    <t>AATCGTTAGTTTTGTTGCCTTCCAATTCTAAGGAATGACTCAGTCATCTCCATGTTTCCCAGACCTGGACTTCCTCATGAAACTTTATTTTTTTAATTGTTTATGTTGCCAGGGCTGGCCTTGCACTCCTGGGCTCAAGTGATGCTCCCACCTCAGCCTCCGCAGTAGCTGGGGTTACAGGTGTGAACCTCTGTACCAGCTGTCTCATTAAAGTTTAAAAGAAATGGGCTGTCTGTCCATTCTGGCTTTGTTCTGGCTGTAGAGCCCAGATGACTGTCTTCTGACCCTTTCCTAAGGTTCT</t>
  </si>
  <si>
    <t>CDK17;LTA4H</t>
  </si>
  <si>
    <t>12:96198160_96198460:RISK</t>
  </si>
  <si>
    <t>AATCGTTAGTTTTGTTGCCTTCCAATTCTAAGGAATGACTCAGTCATCTCCATGTTTCCCAGACCTGGACTTCCTCATGAAACTTTATTTTTTTAATTGTTTATGTTGCCAGGGCTGGCCTTGCACTCCTGGGCTCAAGTGATGCTCCCAACTCAGCCTCCGCAGTAGCTGGGGTTACAGGTGTGAACCTCTGTACCAGCTGTCTCATTAAAGTTTAAAAGAAATGGGCTGTCTGTCCATTCTGGCTTTGTTCTGGCTGTAGAGCCCAGATGACTGTCTTCTGACCCTTTCCTAAGGTTCT</t>
  </si>
  <si>
    <t>12:96204021_96204321:REF</t>
  </si>
  <si>
    <t>rs2268511</t>
  </si>
  <si>
    <t>GGATATATAGAAATGAGGTTAGTTTGCTAGTATCCTGGAGGACAGGGTTTGGCTCTATTGTTGGTATCAGTGTTACTATACTGAGAGTGGTCGGTTAACAGTAAAGTTATTCGTGGGATAGGATATGTTGAAAGAATCTCAATGTAAAGTTTTTTTTTTTATAGAATTAATCATTGTAGAGCAACCATCATTAGTCCTTTATTAAAGACTTCAGTTGATCAGGTTTTCGTAGTTCCCTTGGATAACCAGTTTTTAATCCTGTAAGATCCACAGTTCAGGGTCCTTCTTTACTTATAGAAAA</t>
  </si>
  <si>
    <t>12:96204021_96204321:RISK</t>
  </si>
  <si>
    <t>GGATATATAGAAATGAGGTTAGTTTGCTAGTATCCTGGAGGACAGGGTTTGGCTCTATTGTTGGTATCAGTGTTACTATACTGAGAGTGGTCGGTTAACAGTAAAGTTATTCGTGGGATAGGATATGTTGAAAGAATCTCAATGTAAAGTGTTTTTTTTTATAGAATTAATCATTGTAGAGCAACCATCATTAGTCCTTTATTAAAGACTTCAGTTGATCAGGTTTTCGTAGTTCCCTTGGATAACCAGTTTTTAATCCTGTAAGATCCACAGTTCAGGGTCCTTCTTTACTTATAGAAAA</t>
  </si>
  <si>
    <t>12:96208292_96208592:REF</t>
  </si>
  <si>
    <t>rs2887095</t>
  </si>
  <si>
    <t>TCCACCCACCCCGGCCTCCCAAATTGCTGGGATTACAGGCGTTAGCCACTGCACCCAGCCAGAGGGCAGGTTTTTTTAGTGACTTAACCATCCAGAAATGATTAAGTTTACTTTGTTATTTTAAATTCTATAGAGAAGATAAGAAAGTTCCCAGTTTTCCTGAGAAGAGCATGCAATGGCGTCTCTCCTTCTCCAGGCCACTGCCAGGGCTTTCTGTGAAGGAGCTGGAAGGGAGAGGGTCAAGAGTTCTTGTTGCTTCATCCAGTTCCCAAGAAAATTATAGCCTGATGTGTCATGCATT</t>
  </si>
  <si>
    <t>12:96208292_96208592:RISK</t>
  </si>
  <si>
    <t>TCCACCCACCCCGGCCTCCCAAATTGCTGGGATTACAGGCGTTAGCCACTGCACCCAGCCAGAGGGCAGGTTTTTTTAGTGACTTAACCATCCAGAAATGATTAAGTTTACTTTGTTATTTTAAATTCTATAGAGAAGATAAGAAAGTTCGCAGTTTTCCTGAGAAGAGCATGCAATGGCGTCTCTCCTTCTCCAGGCCACTGCCAGGGCTTTCTGTGAAGGAGCTGGAAGGGAGAGGGTCAAGAGTTCTTGTTGCTTCATCCAGTTCCCAAGAAAATTATAGCCTGATGTGTCATGCATT</t>
  </si>
  <si>
    <t>12:96212961_96213261:REF</t>
  </si>
  <si>
    <t>rs2075362</t>
  </si>
  <si>
    <t>TCGAGAGCCAAAGAAATTGTGATTCATTACACACCTTTTAATTGAGTACCTATTGTTTGTCAGGGGCTGTGTTGGAAGTGCTGGGTAATGCAAGTGAAATGATGGCTAAAAATAAATAGCTGTTTATGTGTTGTGGAAGGCTTCATATAAGGCATATACGAAGGGGGCATAGAAACCTTGTTGAAGGTTTAAAACATATATAAGCCTTTGGCGCAGTGCCATGCTTTTTCCACACACCATCTCATTTAAATTGCCTTGCTGCTTTGTGCTACAGAGAAATAGGGTGTGCTTCTGGGACAAT</t>
  </si>
  <si>
    <t>CDK17</t>
  </si>
  <si>
    <t>12:96212961_96213261:RISK</t>
  </si>
  <si>
    <t>TCGAGAGCCAAAGAAATTGTGATTCATTACACACCTTTTAATTGAGTACCTATTGTTTGTCAGGGGCTGTGTTGGAAGTGCTGGGTAATGCAAGTGAAATGATGGCTAAAAATAAATAGCTGTTTATGTGTTGTGGAAGGCTTCATATAAAGCATATACGAAGGGGGCATAGAAACCTTGTTGAAGGTTTAAAACATATATAAGCCTTTGGCGCAGTGCCATGCTTTTTCCACACACCATCTCATTTAAATTGCCTTGCTGCTTTGTGCTACAGAGAAATAGGGTGTGCTTCTGGGACAAT</t>
  </si>
  <si>
    <t>12:103928286_103928586:REF</t>
  </si>
  <si>
    <t>rs17034916</t>
  </si>
  <si>
    <t>GGGACAGAGTTGATCAGACAACGGCCCGCCATCTTATGCCAGCCTACCATCTTGTGCTCTGTCTGCCTCATGAATTCCCATCATCATCTGCAGAAACGTCTACCCACAAGCAGTGGCTCTGTTTTGAAGGATATGTCTCTGTCTCAGTTCCCTCCAGGTGCAGCACCAACTCCCCACCACTCACTAGTTAAGGTGGCATTTGCAGTTTCAGAACTGGTTGCTTACTTATTCAGAATTGGAGGAAAAGGTCAAGAAGTTGAGCTGTGAAATGCAGAAAAAAAAGTGAAGAAACTCAGTTTTC</t>
  </si>
  <si>
    <t>ALDH1L2;WASHC4;HCFC2;GLT8D2</t>
  </si>
  <si>
    <t>12:103928286_103928586:RISK</t>
  </si>
  <si>
    <t>GGGACAGAGTTGATCAGACAACGGCCCGCCATCTTATGCCAGCCTACCATCTTGTGCTCTGTCTGCCTCATGAATTCCCATCATCATCTGCAGAAACGTCTACCCACAAGCAGTGGCTCTGTTTTGAAGGATATGTCTCTGTCTCAGTTCTCTCCAGGTGCAGCACCAACTCCCCACCACTCACTAGTTAAGGTGGCATTTGCAGTTTCAGAACTGGTTGCTTACTTATTCAGAATTGGAGGAAAAGGTCAAGAAGTTGAGCTGTGAAATGCAGAAAAAAAAGTGAAGAAACTCAGTTTTC</t>
  </si>
  <si>
    <t>12:103965126_103965426:REF</t>
  </si>
  <si>
    <t>rs4135036</t>
  </si>
  <si>
    <t>CCTATTCCATTAAGAGTTCCTTAATAAAGTACAAACACCAGTGACAGAAATTGAGAACTAATGAAACAAAAGCCAGCTGCAAGAACCACTGAGACATAAAAGAGGGGTTAGTCTGTAAGATTACGAACCACTGAGATTTAAAAGAGGGGTCAGTCTGTAAGGTTATGGGAGGTGATGCTCGAATGGGATCTAGTCTCGTAGACGTCAAACGTTAATATTCTCATATATCCAAAGTAATGCGGAGAGTGGTTTATGTAGAGCTTTACATTTTACATAGCAGCTTTACATTCACCCTCATTTC</t>
  </si>
  <si>
    <t>12:103965126_103965426:RISK</t>
  </si>
  <si>
    <t>CCTATTCCATTAAGAGTTCCTTAATAAAGTACAAACACCAGTGACAGAAATTGAGAACTAATGAAACAAAAGCCAGCTGCAAGAACCACTGAGACATAAAAGAGGGGTTAGTCTGTAAGATTACGAACCACTGAGATTTAAAAGAGGGGTTAGTCTGTAAGGTTATGGGAGGTGATGCTCGAATGGGATCTAGTCTCGTAGACGTCAAACGTTAATATTCTCATATATCCAAAGTAATGCGGAGAGTGGTTTATGTAGAGCTTTACATTTTACATAGCAGCTTTACATTCACCCTCATTTC</t>
  </si>
  <si>
    <t>12:116662258_116662558:REF</t>
  </si>
  <si>
    <t>rs7977117</t>
  </si>
  <si>
    <t>CTGCCATCCCCTCTACCTCTCCCTCTTCTCTCTGCCACCTCGGTTTTTCTCCATCCTTTCACTCACCCCCGACCCGCCATTGTTTCACCTGCCTGGAAATGGCACCCTTCGTTGAGAGTAAGGATAGGGCCTCTGCTGTGCCCAGGCCACGTTTCTGGGCCTCTTTTTTCCTCTCCCAGGTCTGAAGGGGCCTCAGTTTGGGGTTCTTAAGGGCCCAGAGACCTGTGAACAGTTGCTCCCTCCCCTACTTAGTGGCCCACGTGGAACTCAAGAGTATCCCGCTCCGTGGCTGTTCAGAAAT</t>
  </si>
  <si>
    <t>MED13L;MIR620;MAP1LC3B2</t>
  </si>
  <si>
    <t>12:116662258_116662558:RISK</t>
  </si>
  <si>
    <t>CTGCCATCCCCTCTACCTCTCCCTCTTCTCTCTGCCACCTCGGTTTTTCTCCATCCTTTCACTCACCCCCGACCCGCCATTGTTTCACCTGCCTGGAAATGGCACCCTTCGTTGAGAGTAAGGATAGGGCCTCTGCTGTGCCCAGGCCACATTTCTGGGCCTCTTTTTTCCTCTCCCAGGTCTGAAGGGGCCTCAGTTTGGGGTTCTTAAGGGCCCAGAGACCTGTGAACAGTTGCTCCCTCCCCTACTTAGTGGCCCACGTGGAACTCAAGAGTATCCCGCTCCGTGGCTGTTCAGAAAT</t>
  </si>
  <si>
    <t>12:116673406_116673731:REF</t>
  </si>
  <si>
    <t>rs7308011;rs7308027</t>
  </si>
  <si>
    <t>116673556;116673581</t>
  </si>
  <si>
    <t>AGGCTGTGAGGACCAGGAGCCCACAGCCGTGCCTGCATGCCTGTTTCAAGCTTGCTGTATACCCAACGCACAGCACAACAAATGCCTGTATTTTCTTTTTTTTTCTTTCTTTCTTTTTTTTTTTTTTTTTTTTGAGACAGAGTCTCACTTCGTCGCCCAGGCTGGAGTGCAATGGCGTGACCTCAGCTCAATGCAGCCTCCAAAAAAACAAACGAAAATATTTATAGCTACTTTTAATTACATGTAGATTAAGGGGCAGTTTATGCAGAAATTTCAAGGAAAGGGTGGTAGCATTTGGGTCCTCGGTCTTTGCCACGGAAAGGAGC</t>
  </si>
  <si>
    <t>12:116673406_116673731:RISK</t>
  </si>
  <si>
    <t>AGGCTGTGAGGACCAGGAGCCCACAGCCGTGCCTGCATGCCTGTTTCAAGCTTGCTGTATACCCAACGCACAGCACAACAAATGCCTGTATTTTCTTTTTTTTTCTTTCTTTCTTTTTTTTTTTTTTTTTTTTGAGACAGAGTCTCACTTTGTCGCCCAGGCTGGAGTGCAATGGTGTGACCTCAGCTCAATGCAGCCTCCAAAAAAACAAACGAAAATATTTATAGCTACTTTTAATTACATGTAGATTAAGGGGCAGTTTATGCAGAAATTTCAAGGAAAGGGTGGTAGCATTTGGGTCCTCGGTCTTTGCCACGGAAAGGAGC</t>
  </si>
  <si>
    <t>12:116674172_116674472:REF</t>
  </si>
  <si>
    <t>rs17500655</t>
  </si>
  <si>
    <t>AGATAGGTTCTCATTCTGTTGATTAGATTTAATAGGGAGAATTGGGGGGCCTTCTGGTTTTCTGGCCAGCTTTTCCTATTGATGCCTTCCAAAGTCATTCAACTTCCTGCCTTGAGATGTATCAGTGACTTCCCACTGCTCTGGGGAAAGGCTGCATATGGCCCGGCTTTCTCTGTGTCCTCACCTTATCCACACATGCTTCCTGAGCTACATCTGAAGCTTGTCAATTGCTCATTTCCTCCACCACAGGGCCTTTGTATATGCTGTTTATGGTGCCCACACCCCACCGACCCCACCCCTT</t>
  </si>
  <si>
    <t>MED13L</t>
  </si>
  <si>
    <t>12:116674172_116674472:RISK</t>
  </si>
  <si>
    <t>AGATAGGTTCTCATTCTGTTGATTAGATTTAATAGGGAGAATTGGGGGGCCTTCTGGTTTTCTGGCCAGCTTTTCCTATTGATGCCTTCCAAAGTCATTCAACTTCCTGCCTTGAGATGTATCAGTGACTTCCCACTGCTCTGGGGAAAGCCTGCATATGGCCCGGCTTTCTCTGTGTCCTCACCTTATCCACACATGCTTCCTGAGCTACATCTGAAGCTTGTCAATTGCTCATTTCCTCCACCACAGGGCCTTTGTATATGCTGTTTATGGTGCCCACACCCCACCGACCCCACCCCTT</t>
  </si>
  <si>
    <t>12:116695445_116695745:REF</t>
  </si>
  <si>
    <t>rs17428858</t>
  </si>
  <si>
    <t>CACAAACAAAAGTTAGAATGTTCTCTGAATCTCCTGACCACCCTATCCTTCCGTTTGCAAATGCTTGCACCCAAGGGACAGTTAACTCCTAACAGAGGCTAGTGTTTCTCCAAGTGTGAGCTGCAGACACATCCGGGCACCTGTTAAAAACACTGCTTGCTGGGCTCTGCCCCAGACCTGTGCCCAAAGCATTTCCTTCTTTCTTTCTTTCTTTCTTTCTTTTTTTTTTGGGGGGGGGGTGGTGGGGGCGGGACAGAGTCTCTCTCTGTTGCCCAGGCTGGAGGCTGGAGTGCAGTGGCTC</t>
  </si>
  <si>
    <t>MED13L;MIR620</t>
  </si>
  <si>
    <t>12:116695445_116695745:RISK</t>
  </si>
  <si>
    <t>CACAAACAAAAGTTAGAATGTTCTCTGAATCTCCTGACCACCCTATCCTTCCGTTTGCAAATGCTTGCACCCAAGGGACAGTTAACTCCTAACAGAGGCTAGTGTTTCTCCAAGTGTGAGCTGCAGACACATCCGGGCACCTGTTAAAAATACTGCTTGCTGGGCTCTGCCCCAGACCTGTGCCCAAAGCATTTCCTTCTTTCTTTCTTTCTTTCTTTCTTTTTTTTTTGGGGGGGGGGTGGTGGGGGCGGGACAGAGTCTCTCTCTGTTGCCCAGGCTGGAGGCTGGAGTGCAGTGGCTC</t>
  </si>
  <si>
    <t>12:117889355_117889655:REF</t>
  </si>
  <si>
    <t>rs10850922</t>
  </si>
  <si>
    <t>AACTCGTGCCCCCACATCACAGCAGCAAGCTCTGCAGTTACAGAGACCTCAAACTTTCCATCAACAATCCTCACTCGCAGCCTCTTAGCTCTTGGGGGAAAATTAACACAGGTCCCAGGGCTGAGATTTTCCATGTTTAGTTTCAACCCAAAGGAAAATTTTGTTAGAAAGTTGAAAGAGTGTGACTATTTTTAAATAACGAGACGTGGGGCCATAGTGTCAGCACAGTCAAAAAGGTAAAAAACATTTGTATCTTGCTTTCTTCCACCCTCCCCTTCAATTCAGATGGATAGACTGCAGA</t>
  </si>
  <si>
    <t>RFC5;SUDS3;TAOK3;WSB2;ENSG00000270482</t>
  </si>
  <si>
    <t>12:117889355_117889655:RISK</t>
  </si>
  <si>
    <t>AACTCGTGCCCCCACATCACAGCAGCAAGCTCTGCAGTTACAGAGACCTCAAACTTTCCATCAACAATCCTCACTCGCAGCCTCTTAGCTCTTGGGGGAAAATTAACACAGGTCCCAGGGCTGAGATTTTCCATGTTTAGTTTCAACCCAGAGGAAAATTTTGTTAGAAAGTTGAAAGAGTGTGACTATTTTTAAATAACGAGACGTGGGGCCATAGTGTCAGCACAGTCAAAAAGGTAAAAAACATTTGTATCTTGCTTTCTTCCACCCTCCCCTTCAATTCAGATGGATAGACTGCAGA</t>
  </si>
  <si>
    <t>12:117890235_117890535:REF</t>
  </si>
  <si>
    <t>rs17586112</t>
  </si>
  <si>
    <t>AAGAGAAGTGTTACCTAAAGTCACCCAAGTCACACTGGGTCCCATAAGCTAGTAACTAGTTTGATCTTCATACCAAGATCAGTACAATCTCCAGCCTCTAGGGGTGTCCACAGGCTTTAGAGCCCAGCCACATGTCCACAGAGCACCAGATAGTACCTTTGGTGTGAATCTTCTCTGACATTTACCATCCTCAACAAATGGAGCTTCTGAGCTCCAGAGTAAAGGGAACAACCTTAGAATTCTACAGTAGTGCTCTCCCGAAAACACTGCTTAGAAGTCTAGTCTTTTTAAATAAGCTCAC</t>
  </si>
  <si>
    <t>SUDS3;TAOK3;WSB2;ENSG00000270482;RFC5</t>
  </si>
  <si>
    <t>ProB;PreB</t>
  </si>
  <si>
    <t>12:117890235_117890535:RISK</t>
  </si>
  <si>
    <t>AAGAGAAGTGTTACCTAAAGTCACCCAAGTCACACTGGGTCCCATAAGCTAGTAACTAGTTTGATCTTCATACCAAGATCAGTACAATCTCCAGCCTCTAGGGGTGTCCACAGGCTTTAGAGCCCAGCCACATGTCCACAGAGCACCAGACAGTACCTTTGGTGTGAATCTTCTCTGACATTTACCATCCTCAACAAATGGAGCTTCTGAGCTCCAGAGTAAAGGGAACAACCTTAGAATTCTACAGTAGTGCTCTCCCGAAAACACTGCTTAGAAGTCTAGTCTTTTTAAATAAGCTCAC</t>
  </si>
  <si>
    <t>12:117896997_117897297:REF</t>
  </si>
  <si>
    <t>rs10850928</t>
  </si>
  <si>
    <t>TGCTGTGCCAAGCAGGGCAGTGATACTTCATCTGCCTAACCAGGAGGTGTTAGAGTGAAGAGGTTTCTTCCTCTCTGCCCTGTTCCTCTTCGCCCAAGTCTACCGGGACTGATGTTCAGCTTGAGGGAGTAGCGGAGCAGCCACGTGTTCGTCATCAGGAATTATTGTTTCATTAACATCCAGCTCCCAAGCTGTGACAGATGCCAGTTTCAGGCCATATTATGCACATCAGAAATGATCTGGAGGGGGCAAACATGCCAGGGCAGTGGTGCCAAGGAAATACTTGCCAACTAAGAATACC</t>
  </si>
  <si>
    <t>RFC5;SUDS3;WSB2;ENSG00000270482</t>
  </si>
  <si>
    <t>12:117896997_117897297:RISK</t>
  </si>
  <si>
    <t>TGCTGTGCCAAGCAGGGCAGTGATACTTCATCTGCCTAACCAGGAGGTGTTAGAGTGAAGAGGTTTCTTCCTCTCTGCCCTGTTCCTCTTCGCCCAAGTCTACCGGGACTGATGTTCAGCTTGAGGGAGTAGCGGAGCAGCCACGTGTTCATCATCAGGAATTATTGTTTCATTAACATCCAGCTCCCAAGCTGTGACAGATGCCAGTTTCAGGCCATATTATGCACATCAGAAATGATCTGGAGGGGGCAAACATGCCAGGGCAGTGGTGCCAAGGAAATACTTGCCAACTAAGAATACC</t>
  </si>
  <si>
    <t>14:23119990_23120290:REF</t>
  </si>
  <si>
    <t>rs2239630</t>
  </si>
  <si>
    <t>AAGCACCTGGTCAGGACTTGGGCCTTGCACCGCAGGCCTAGGCAGGTTGCTGCCCTCGGAGTAGACAGCCATAATCCTCCGGTGGCTCCAGCACTTCTCTCTTCCAGCTGCTCTGTGCTGCAAGAGGCTCAGGCTGGTGCTTCGCCCCTCGCCCTGGGCCTGAGGCTCTGCCTCTGGTTTCCTGTGCCTGGGCTGCAGGGCTTAGGAGCTTGCTGCAGCTCGTTTGCTGTCTTTCCTTTTGCATGGCCGCTCTCTGATCTCCAATGCGTGTCTCTTGGGTCTACTTCCTCTTGTGAGGTTT</t>
  </si>
  <si>
    <t>SLC7A8;RNF212B;ENSG00000259018</t>
  </si>
  <si>
    <t>14:23119990_23120290:RISK</t>
  </si>
  <si>
    <t>AAGCACCTGGTCAGGACTTGGGCCTTGCACCGCAGGCCTAGGCAGGTTGCTGCCCTCGGAGTAGACAGCCATAATCCTCCGGTGGCTCCAGCACTTCTCTCTTCCAGCTGCTCTGTGCTGCAAGAGGCTCAGGCTGGTGCTTCGCCCCTCACCCTGGGCCTGAGGCTCTGCCTCTGGTTTCCTGTGCCTGGGCTGCAGGGCTTAGGAGCTTGCTGCAGCTCGTTTGCTGTCTTTCCTTTTGCATGGCCGCTCTCTGATCTCCAATGCGTGTCTCTTGGGTCTACTTCCTCTTGTGAGGTTT</t>
  </si>
  <si>
    <t>16:67547830_67548130:REF</t>
  </si>
  <si>
    <t>rs13334205</t>
  </si>
  <si>
    <t>GACCCAGATCCCCAGGGAGCCCTGCCCCCCAGTGTTTTAGAGCTAGGTATGAAGAGGTTTGGCTGGGGCTTTAACCACCTGCTGGGGAAGCCAAGCTGAGCAGAAAAAACGGCAACAGGAAGAAGCACAGGAAGCACCTGTGTGGATGCAAGTGGCTCATTCCAGACGCTGGGGCGAGGGTGGGCAGGGGCAGGCAGGCAGCCCTCTGCACACTGGCGCGGCTCTTTGCTCTCTGGGTAACGAAGGGTGGCACGGGATGGTGCAGCTCAGTATTTGGGGTGGTGAGCTGGAGCAGCATGGG</t>
  </si>
  <si>
    <t>ACD;PARD6A;ENKD1;CARMIL2</t>
  </si>
  <si>
    <t>16:67547830_67548130:RISK</t>
  </si>
  <si>
    <t>GACCCAGATCCCCAGGGAGCCCTGCCCCCCAGTGTTTTAGAGCTAGGTATGAAGAGGTTTGGCTGGGGCTTTAACCACCTGCTGGGGAAGCCAAGCTGAGCAGAAAAAACGGCAACAGGAAGAAGCACAGGAAGCACCTGTGTGGATGCAGGTGGCTCATTCCAGACGCTGGGGCGAGGGTGGGCAGGGGCAGGCAGGCAGCCCTCTGCACACTGGCGCGGCTCTTTGCTCTCTGGGTAACGAAGGGTGGCACGGGATGGTGCAGCTCAGTATTTGGGGTGGTGAGCTGGAGCAGCATGGG</t>
  </si>
  <si>
    <t>17:17724777_17725077:REF</t>
  </si>
  <si>
    <t>rs9906532</t>
  </si>
  <si>
    <t>CCGCCAGCGCTTAAGGTCGCGCTCTCCCCACCCCCGCCTTCCTCCCTTCCTCGGCGGCTTCCGGATCTGGACAGAGCTGCAGGAGTGGCTTCAAACACTTCCCCTGGAGACCCCTCCCCACTCCCCGCACGAGAGCCTGCCCAGTGGCCCTCCTGCCCTGCGCCCCAGTCTCACGCGCGGTCGAGTGGCCAGGCTGACAATGAAATCTCGCACCTCTGCCGGGGGGAGTGGGGTGGGGAGGAGGTCCCTCCTGGGGCTGCTGACCCTGGGCCTCGGGCAGGGGGAGGGGGCTCCTGGGGGA</t>
  </si>
  <si>
    <t>RAI1</t>
  </si>
  <si>
    <t>17:17724777_17725077:RISK</t>
  </si>
  <si>
    <t>CCGCCAGCGCTTAAGGTCGCGCTCTCCCCACCCCCGCCTTCCTCCCTTCCTCGGCGGCTTCCGGATCTGGACAGAGCTGCAGGAGTGGCTTCAAACACTTCCCCTGGAGACCCCTCCCCACTCCCCGCACGAGAGCCTGCCCAGTGGCCCCCCTGCCCTGCGCCCCAGTCTCACGCGCGGTCGAGTGGCCAGGCTGACAATGAAATCTCGCACCTCTGCCGGGGGGAGTGGGGTGGGGAGGAGGTCCCTCCTGGGGCTGCTGACCCTGGGCCTCGGGCAGGGGGAGGGGGCTCCTGGGGGA</t>
  </si>
  <si>
    <t>17:17725821_17726121:REF</t>
  </si>
  <si>
    <t>rs4925105</t>
  </si>
  <si>
    <t>AAAAGAGAATTCCTGGGGGAGAGGGGAGGCACCTTTTGAGAGGGAGGGGGGCGGCTAGACTGTGTTCAGGCTGTTCTGTCTCTTGGTCCAGGAATAGAAAGAGTTAACCCTCCCCCAGAAATTTGTCAGCCCCCACACAGCAGGGAAACACTGTTGGACCCTCTGACATGCTAACAGTGTGACACCGGCTGACTGGAGCTAGCAGATTCTAGACCCTGGACTCCCCCTTCAAAGCCCAACAGGACTCGGCTGGGTGGTGCCTTGTTCAGGGACCTTGTGGGAGGCGGAAATGAGAGCCCAG</t>
  </si>
  <si>
    <t>17:17725821_17726121:RISK</t>
  </si>
  <si>
    <t>AAAAGAGAATTCCTGGGGGAGAGGGGAGGCACCTTTTGAGAGGGAGGGGGGCGGCTAGACTGTGTTCAGGCTGTTCTGTCTCTTGGTCCAGGAATAGAAAGAGTTAACCCTCCCCCAGAAATTTGTCAGCCCCCACACAGCAGGGAAACATTGTTGGACCCTCTGACATGCTAACAGTGTGACACCGGCTGACTGGAGCTAGCAGATTCTAGACCCTGGACTCCCCCTTCAAAGCCCAACAGGACTCGGCTGGGTGGTGCCTTGTTCAGGGACCTTGTGGGAGGCGGAAATGAGAGCCCAG</t>
  </si>
  <si>
    <t>17:17750855_17751378:REF</t>
  </si>
  <si>
    <t>rs11656775;rs941448</t>
  </si>
  <si>
    <t>17751005;17751228</t>
  </si>
  <si>
    <t>A;C</t>
  </si>
  <si>
    <t>G;G</t>
  </si>
  <si>
    <t>TGGCCTTTGTTTTCTCTGGTTTTGTGCTTGTCCAAGGGTGGGGAGGTGGTTGAGTACATCTCTCTGAGGGTCTGGGCCAGGGCTCAGCACTTCATCATTTCAGCTGTCCATATTTGGAGGGCATCTGTTTCCTTCCGCCTTCCACAGAGGGGGAAGATGGGTACACATGTGGCTAGTAACCATTAGCCGTCGACTTCCGGTTTTGTCTTTCTGGCTCTTTATGATTGACAAGTGCTGGCATGTTGGCCTTTCTGCCCCTTAGCAGCCCTCCATGCAGGAAAGCGGGAGGGAGGGGTGTGTGGCCAGTGCTAGGATGGGGTCTGTATGGAAGAGTAGCTCCAGGAAGTGGAGCCTCATCAAGGCAGGTAGCCCAGGCTTCCCGAGGAGGTGACATTTGGTCGGGCTTTGAAGGCTAAGGTGGGAGTCTGTCAGACTGAAAAGGAAAGGCATGCCAGGCAGAGGGGCCTGTGCAAAGGCTAAGAGAGCCTGGCTTCTCGGCTCCTGTGTCTGCTTTGCCCCTAGAG</t>
  </si>
  <si>
    <t>17:17750855_17751378:RISK</t>
  </si>
  <si>
    <t>TGGCCTTTGTTTTCTCTGGTTTTGTGCTTGTCCAAGGGTGGGGAGGTGGTTGAGTACATCTCTCTGAGGGTCTGGGCCAGGGCTCAGCACTTCATCATTTCAGCTGTCCATATTTGGAGGGCATCTGTTTCCTTCCGCCTTCCACAGAGGAGGAAGATGGGTACACATGTGGCTAGTAACCATTAGCCGTCGACTTCCGGTTTTGTCTTTCTGGCTCTTTATGATTGACAAGTGCTGGCATGTTGGCCTTTCTGCCCCTTAGCAGCCCTCCATGCAGGAAAGCGGGAGGGAGGGGTGTGTGGCCAGTGCTAGGATGGGGTCTGTATGGAAGAGTAGCTCCAGGAAGTGGAGCCTCATCAAGGCAGGTAGCCCACGCTTCCCGAGGAGGTGACATTTGGTCGGGCTTTGAAGGCTAAGGTGGGAGTCTGTCAGACTGAAAAGGAAAGGCATGCCAGGCAGAGGGGCCTGTGCAAAGGCTAAGAGAGCCTGGCTTCTCGGCTCCTGTGTCTGCTTTGCCCCTAGAG</t>
  </si>
  <si>
    <t>17:49014564_49014864:REF</t>
  </si>
  <si>
    <t>rs10853104</t>
  </si>
  <si>
    <t>GGAGGGCCACGTTGGGGCCCTTGTCAGGGGAGAGACTGGCTGAGGAAGCGCCCGCCAGGAAGAAGCCAGCTGCAGCGCCTGTTTCCCACCGCAGGTCATGGTTGGCAGCTAGGGGGAGACGCGGATCCCTGAGGGCTACTGCGCAGCGGCCGCCACTTATGGACACGCAGACGCTTGCGGGGCTGGTGCCCAGATGTTTGCCCATCGTCATCAGGGGGCACTAAGGACCCCGAGGAGCACGGGGATGTCTGCCGGGTCCTTCTCATGGTGCGGTGGGAAGCTGCCGAAGACAGATTGCTTT</t>
  </si>
  <si>
    <t>CALCOCO2;PRAC1;HOXB13;ATP5MC1;UBE2Z;SNF8;B4GALNT2;TTLL6;RNU1-42P;PRAC2;ENSG00000230532;ENSG00000238804;SUMO2P17;MIR3185;ENSG00000273750;ENSG00000277542;ABI3;SPOP;GNGT2;PHB;HOXB9;ENSG00000186244;HOXB-AS4;ENSG00000250186</t>
  </si>
  <si>
    <t>17:49014564_49014864:RISK</t>
  </si>
  <si>
    <t>GGAGGGCCACGTTGGGGCCCTTGTCAGGGGAGAGACTGGCTGAGGAAGCGCCCGCCAGGAAGAAGCCAGCTGCAGCGCCTGTTTCCCACCGCAGGTCATGGTTGGCAGCTAGGGGGAGACGCGGATCCCTGAGGGCTACTGCGCAGCGGCTGCCACTTATGGACACGCAGACGCTTGCGGGGCTGGTGCCCAGATGTTTGCCCATCGTCATCAGGGGGCACTAAGGACCCCGAGGAGCACGGGGATGTCTGCCGGGTCCTTCTCATGGTGCGGTGGGAAGCTGCCGAAGACAGATTGCTTT</t>
  </si>
  <si>
    <t>18:63138366_63138666:REF</t>
  </si>
  <si>
    <t>rs4987839</t>
  </si>
  <si>
    <t>TCCGTCTGCAGAGCAGTGTGGCTTTGGCAGCTGCATGCTTGCTTCTGTCCCCTGTGACTCTTCCTCCCGCACCCTCCCTTTACTCCCAAAATATTGTTTCCGGGTTTGGGGGAAAAGGAAAGGGAAAAAAATAACCCTTGAGCATATAACTGAAGGACACACAGCTGCCTGGGCCGGAGATGGTGAAGAGGCACGGGAGCGTGAGAAGCACAAGGATTTGCCTTCCTCCAGGCTGGCGAAGGCTGCTCCCCAAAGCCATCTCCAGTGCCTGGGGGTTGATCTTGGAGGAACTCTGGGTCCA</t>
  </si>
  <si>
    <t>BCL2;PHLPP1</t>
  </si>
  <si>
    <t>18:63138366_63138666:RISK</t>
  </si>
  <si>
    <t>TCCGTCTGCAGAGCAGTGTGGCTTTGGCAGCTGCATGCTTGCTTCTGTCCCCTGTGACTCTTCCTCCCGCACCCTCCCTTTACTCCCAAAATATTGTTTCCGGGTTTGGGGGAAAAGGAAAGGGAAAAAAATAACCCTTGAGCATATAACCGAAGGACACACAGCTGCCTGGGCCGGAGATGGTGAAGAGGCACGGGAGCGTGAGAAGCACAAGGATTTGCCTTCCTCCAGGCTGGCGAAGGCTGCTCCCCAAAGCCATCTCCAGTGCCTGGGGGTTGATCTTGGAGGAACTCTGGGTCCA</t>
  </si>
  <si>
    <t>18:63142857_63143157:REF</t>
  </si>
  <si>
    <t>rs12457831</t>
  </si>
  <si>
    <t>AACCAGATGCATTTCAAGGAACACTGCTTGGCTCTTTGACAATCCTCTTCCTTCCTCATCAGACAGTCTTCCTGTGCCCAGGGAAGACAGCAGACCTCTCTATCACAAGGAAAATGCAGTCTCTGTCAGTGGCAGCAGCTGTTAGTACCAGGACAGGTAAATGGTGGGCCAGGTCAGCCTGTGGTTCTGGATCCTGGCTCATTAACATATGGACAAGATACGCTGGCGTGGCCTCTCATCTGAATAGCTGTTTACGGCGAAGGACCTCTGACAGTATGCTTTCTGTTGCAAGAAGGATACT</t>
  </si>
  <si>
    <t>BCL2</t>
  </si>
  <si>
    <t>18:63142857_63143157:RISK</t>
  </si>
  <si>
    <t>AACCAGATGCATTTCAAGGAACACTGCTTGGCTCTTTGACAATCCTCTTCCTTCCTCATCAGACAGTCTTCCTGTGCCCAGGGAAGACAGCAGACCTCTCTATCACAAGGAAAATGCAGTCTCTGTCAGTGGCAGCAGCTGTTAGTACCACGACAGGTAAATGGTGGGCCAGGTCAGCCTGTGGTTCTGGATCCTGGCTCATTAACATATGGACAAGATACGCTGGCGTGGCCTCTCATCTGAATAGCTGTTTACGGCGAAGGACCTCTGACAGTATGCTTTCTGTTGCAAGAAGGATACT</t>
  </si>
  <si>
    <t>18:77022897_77023197:REF</t>
  </si>
  <si>
    <t>rs35173653</t>
  </si>
  <si>
    <t>GCCTTCAGTCAAACGAAATCCCAATGCAGACTTTTACATTTGGATATTTATAGAGCAGAGCATTATTACACAATTAGTGAAACATGCAGATCTACATTTTCCAAAATATGTACTTATAATATTTTCTGTGGTATTAATCGATTTCTGCAATTGCAGGAAAACTTCCTTAAACAACAACACCACACCCTAATCTTATTGCTAGGACAATGCTGGCCTTTAGAAGGTGGTGATATTCAAATCACTGACCATCTGTGAGCAACAACAGGGGTATCATGTATCTCCGAGTGGTTTCTGAGGCACA</t>
  </si>
  <si>
    <t>MBP</t>
  </si>
  <si>
    <t>18:77022897_77023197:RISK</t>
  </si>
  <si>
    <t>GCCTTCAGTCAAACGAAATCCCAATGCAGACTTTTACATTTGGATATTTATAGAGCAGAGCATTATTACACAATTAGTGAAACATGCAGATCTACATTTTCCAAAATATGTACTTATAATATTTTCTGTGGTATTAATCGATTTCTGCAACTGCAGGAAAACTTCCTTAAACAACAACACCACACCCTAATCTTATTGCTAGGACAATGCTGGCCTTTAGAAGGTGGTGATATTCAAATCACTGACCATCTGTGAGCAACAACAGGGGTATCATGTATCTCCGAGTGGTTTCTGAGGCACA</t>
  </si>
  <si>
    <t>20:17855989_17856289:REF</t>
  </si>
  <si>
    <t>rs2618576</t>
  </si>
  <si>
    <t>GAGGGAGGGAGGGAGGGAGGGAGGGAGGGAGGGAGGGAGGGAGGGAGGGACAGAAAGAAATGGAAGATCAGAGAAGTGGAATAACCTCCTAGGATCACACAGCTTGTGAATGAGAGGCACTGAGTTGCTCAGTGATGGAGTGTCTAATGTAGGGTGTGTATGTACTGACTGTGTCCCAAGGCCAATTATAACTTGGGGAAGGCACCACTACCTCCCTGTCATACAATGGGTACATTGTCTGTCAATGGCACGTGGTTGTACACACCTCCAGGGGTAAACAATCAAAAGTCAGGAGCCTCTC</t>
  </si>
  <si>
    <t>RRBP1;BANF2;SNX5;ZNF133;BFSP1;DSTN;MGME1;SNORD17;ENSG00000277373</t>
  </si>
  <si>
    <t>20:17855989_17856289:RISK</t>
  </si>
  <si>
    <t>GAGGGAGGGAGGGAGGGAGGGAGGGAGGGAGGGAGGGAGGGAGGGAGGGACAGAAAGAAATGGAAGATCAGAGAAGTGGAATAACCTCCTAGGATCACACAGCTTGTGAATGAGAGGCACTGAGTTGCTCAGTGATGGAGTGTCTAATGTTGGGTGTGTATGTACTGACTGTGTCCCAAGGCCAATTATAACTTGGGGAAGGCACCACTACCTCCCTGTCATACAATGGGTACATTGTCTGTCAATGGCACGTGGTTGTACACACCTCCAGGGGTAAACAATCAAAAGTCAGGAGCCTCTC</t>
  </si>
  <si>
    <t>21:38404413_38404713:REF</t>
  </si>
  <si>
    <t>rs9976326</t>
  </si>
  <si>
    <t>GGATGCAGGCCACGTCGTCACACTCCAGTGCTACCTATGGGACAGGGAGAGCAGGGCCCGGGGGAGAAGGAGCAGGTGATCTCCAACAGAAACGCCAGCCGGGATGTCCTGTGGTAAACACCCTCAGTGGTAGGGTCTTCAGAGTGTGGTAAATGGGGCGGCTGCTCCCTTGGGCCCCGAGCCCTGAGAGACACATGGGCAGGGAGTTGGAGCCCTGAGTTCTAATCTCACCATTTCTCCACTTTCTGGACCTTGCTGTGGGCAGCTATTTCTCCTTTCTGTGTCTGTCCCACCTGTAAAC</t>
  </si>
  <si>
    <t>ETS2;HMGN1;PSMG1;ENSG00000272991</t>
  </si>
  <si>
    <t>21:38404413_38404713:RISK</t>
  </si>
  <si>
    <t>GGATGCAGGCCACGTCGTCACACTCCAGTGCTACCTATGGGACAGGGAGAGCAGGGCCCGGGGGAGAAGGAGCAGGTGATCTCCAACAGAAACGCCAGCCGGGATGTCCTGTGGTAAACACCCTCAGTGGTAGGGTCTTCAGAGTGTGGTTAATGGGGCGGCTGCTCCCTTGGGCCCCGAGCCCTGAGAGACACATGGGCAGGGAGTTGGAGCCCTGAGTTCTAATCTCACCATTTCTCCACTTTCTGGACCTTGCTGTGGGCAGCTATTTCTCCTTTCTGTGTCTGTCCCACCTGTAAAC</t>
  </si>
  <si>
    <t>21:38435425_38435725:REF</t>
  </si>
  <si>
    <t>rs9979478</t>
  </si>
  <si>
    <t>GCGGGTGGAGCTCAGCAGTGATTCATGTAGAACTCCGGGCTCAAACTGAAACCGTAGATGTTTGTCTTCACAGCTGTGTGTTATTTTTACCCTTACTAAATATTCTCTCTTACACCTGGAATTTCAGCCTCTTCCCAACAGTCCTGTTCCCTCCCCCTTCCCTGAAGCAGTTGAAGACAAAATTAATTAAAAAGTCACCACCAGCTCACCAACAGTTAGTTCTTTGTCCCCTTAAAGGGGCTCGATGTTTCCCTGAGAAAGTTTCATTATTTAAGTTTATATTTCTCTTTACAGCCAAAAA</t>
  </si>
  <si>
    <t>ETS2</t>
  </si>
  <si>
    <t>21:38435425_38435725:RISK</t>
  </si>
  <si>
    <t>GCGGGTGGAGCTCAGCAGTGATTCATGTAGAACTCCGGGCTCAAACTGAAACCGTAGATGTTTGTCTTCACAGCTGTGTGTTATTTTTACCCTTACTAAATATTCTCTCTTACACCTGGAATTTCAGCCTCTTCCCAACAGTCCTGTTCCTTCCCCCTTCCCTGAAGCAGTTGAAGACAAAATTAATTAAAAAGTCACCACCAGCTCACCAACAGTTAGTTCTTTGTCCCCTTAAAGGGGCTCGATGTTTCCCTGAGAAAGTTTCATTATTTAAGTTTATATTTCTCTTTACAGCCAAAAA</t>
  </si>
  <si>
    <t>21:38472715_38473015:REF</t>
  </si>
  <si>
    <t>rs2836428</t>
  </si>
  <si>
    <t>CCAAATCACAGGAGAAGGGGAAGAAACGTGTCTCAGCTACTAAGTTTCTCTTTTCCATGACGCTCAAAGCAGAAAATGGCTGCACGTGGGCAATTCGTGCGCTTGGAGCTCAGACCTGCAGTCTTGTCGTTTGTCTGCCCTGTCTTGGTGGATGCTGGGCCTGACTTTTTTATTTTTCCATTTCAAGGAGCCCCAGCAGGGCCTGGAGGAAATGAGTTTTGCAGCCCATCTCGGCCCTTGAGCTTGGCTCCTCGGCTGACCTCGGCTCCCCGCCTGCAGACCCGGCATGAGGCAGGCAGCA</t>
  </si>
  <si>
    <t>ETS2;PSMG1;ENSG00000272991;HMGN1</t>
  </si>
  <si>
    <t>21:38472715_38473015:RISK</t>
  </si>
  <si>
    <t>CCAAATCACAGGAGAAGGGGAAGAAACGTGTCTCAGCTACTAAGTTTCTCTTTTCCATGACGCTCAAAGCAGAAAATGGCTGCACGTGGGCAATTCGTGCGCTTGGAGCTCAGACCTGCAGTCTTGTCGTTTGTCTGCCCTGTCTTGGTGCATGCTGGGCCTGACTTTTTTATTTTTCCATTTCAAGGAGCCCCAGCAGGGCCTGGAGGAAATGAGTTTTGCAGCCCATCTCGGCCCTTGAGCTTGGCTCCTCGGCTGACCTCGGCTCCCCGCCTGCAGACCCGGCATGAGGCAGGCAGCA</t>
  </si>
  <si>
    <t>21:38473867_38474369:REF</t>
  </si>
  <si>
    <t>rs17285189;rs34825969</t>
  </si>
  <si>
    <t>38474017;38474219</t>
  </si>
  <si>
    <t>T;A</t>
  </si>
  <si>
    <t>CATGTGTATGTGTGAGCGTATGTGTGTGTAAGTGTTGTATATGTGTGTATGTGTGTGTATATGTATGTGTGTATATAATAGGAAGTAAGTTGGAAAACATGAGCCAACTGACTTTTTTTTCCTTAGACAGCTAAAGAAGAGTGGTTAGAATTTTACTCACAAGTAAATCTTTTAAGGAGCGTTTACTTCCCAGAAACAGCAATGAGATCTTGGAGGGGCAATTCTTGTCAACTGTGCATCATCAATGGAGTTTAACTGTGAGAGGTAAAACCCATTGTTGGTCCCGACTCCACCAACCCAAATGGTCATATCTGAGGACTTCCTGTGGTTCTCCCGCCCCCACCCTCTCCACAGCATTTACTGCTCCTGTATACCCTGGACTTCTCGACAGGAAATGGCAAATTCCTCAGTAGGAAAGCCAAGAAGTGGGAGGTCACATGGAGACTGGAAGTTCATTGCGTGCAGCCCCTCCAGGTGACAGGCGACACCGCCTCTGCATGTTG</t>
  </si>
  <si>
    <t>21:38473867_38474369:RISK</t>
  </si>
  <si>
    <t>CATGTGTATGTGTGAGCGTATGTGTGTGTAAGTGTTGTATATGTGTGTATGTGTGTGTATATGTATGTGTGTATATAATAGGAAGTAAGTTGGAAAACATGAGCCAACTGACTTTTTTTTCCTTAGACAGCTAAAGAAGAGTGGTTAGAAGTTTACTCACAAGTAAATCTTTTAAGGAGCGTTTACTTCCCAGAAACAGCAATGAGATCTTGGAGGGGCAATTCTTGTCAACTGTGCATCATCAATGGAGTTTAACTGTGAGAGGTAAAACCCATTGTTGGTCCCGACTCCACCAACCCAAATGGTCATATCTGAGGACTTCCTGTGGTTCTCCCGCCCCCACCCTCTCCACGGCATTTACTGCTCCTGTATACCCTGGACTTCTCGACAGGAAATGGCAAATTCCTCAGTAGGAAAGCCAAGAAGTGGGAGGTCACATGGAGACTGGAAGTTCATTGCGTGCAGCCCCTCCAGGTGACAGGCGACACCGCCTCTGCATGTTG</t>
  </si>
  <si>
    <t>21:38477480_38477780:REF</t>
  </si>
  <si>
    <t>rs2836430</t>
  </si>
  <si>
    <t>TCAGCATTTGCCGTAACCAGTCGAGTTAACCAAGTTGGGCCATGTGAAATACCGAGTGGTTAGAGAATCTACCAGGAAACCTACTGTTAAAAATAACTTTCACAACACTGAAGAGAAATAGCTGAGGTCACTTAATTTATCACTCAGGCAGGAGCTTTCTTTAGCATCAGTTCATGCTGAGCCATTGGCTTGTTTATGGACATGATACTAACAATAAATAGGTAAAGGGTAAGGGCCCTATGACATAGAGCTGGCTACAAACCAATGTGGGGTACACAATATGCCTAGCATTTAAACAAGA</t>
  </si>
  <si>
    <t>21:38477480_38477780:RISK</t>
  </si>
  <si>
    <t>TCAGCATTTGCCGTAACCAGTCGAGTTAACCAAGTTGGGCCATGTGAAATACCGAGTGGTTAGAGAATCTACCAGGAAACCTACTGTTAAAAATAACTTTCACAACACTGAAGAGAAATAGCTGAGGTCACTTAATTTATCACTCAGGCATGAGCTTTCTTTAGCATCAGTTCATGCTGAGCCATTGGCTTGTTTATGGACATGATACTAACAATAAATAGGTAAAGGGTAAGGGCCCTATGACATAGAGCTGGCTACAAACCAATGTGGGGTACACAATATGCCTAGCATTTAAACAAGA</t>
  </si>
  <si>
    <t>21:38478636_38478936:REF</t>
  </si>
  <si>
    <t>rs2836432</t>
  </si>
  <si>
    <t>GTGATAAGAGGAACTTCAATTTTTATTTGGAATCTGACCCATTTCATAAGAATGAGTAACACCTGAATATTTAGGTGCAGATATCAAAGACAGAAGACAAAAAGAAATCATAGTGTTTGACAATAATATTAGTATAGGATGCCGTTTTATCAGTTCAGTCTTAGGACTGTGTAGGTGCAACGTGAAGACTTTCCTGAAGACAGCCACATGAATCATTTTTCATAGGATGTAATCACCACTGTCATCCATTAGTCCAGGCTTGACACATAGAATGGGGGTGACTGGCTGCCTAAGTAACAAA</t>
  </si>
  <si>
    <t>21:38478636_38478936:RISK</t>
  </si>
  <si>
    <t>GTGATAAGAGGAACTTCAATTTTTATTTGGAATCTGACCCATTTCATAAGAATGAGTAACACCTGAATATTTAGGTGCAGATATCAAAGACAGAAGACAAAAAGAAATCATAGTGTTTGACAATAATATTAGTATAGGATGCCGTTTTATGAGTTCAGTCTTAGGACTGTGTAGGTGCAACGTGAAGACTTTCCTGAAGACAGCCACATGAATCATTTTTCATAGGATGTAATCACCACTGTCATCCATTAGTCCAGGCTTGACACATAGAATGGGGGTGACTGGCTGCCTAAGTAACAAA</t>
  </si>
  <si>
    <t>nluc/luc2_empty1</t>
  </si>
  <si>
    <t>nluc/luc2_empty2</t>
  </si>
  <si>
    <t>nluc/luc2_empty3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</si>
  <si>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</si>
  <si>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</si>
  <si>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</si>
  <si>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</si>
  <si>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</si>
  <si>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</si>
  <si>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</si>
  <si>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</si>
  <si>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</si>
  <si>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</si>
  <si>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</si>
  <si>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</si>
  <si>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</si>
  <si>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</si>
  <si>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</si>
  <si>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</si>
  <si>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</si>
  <si>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</si>
  <si>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</si>
  <si>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</si>
  <si>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</si>
  <si>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</si>
  <si>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</si>
  <si>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</si>
  <si>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</si>
  <si>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</si>
  <si>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</si>
  <si>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</si>
  <si>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</si>
  <si>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</si>
  <si>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</si>
  <si>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</si>
  <si>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</si>
  <si>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</si>
  <si>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</si>
  <si>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</si>
  <si>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</si>
  <si>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</si>
  <si>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</si>
  <si>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</si>
  <si>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</si>
  <si>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</si>
  <si>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</si>
  <si>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</si>
  <si>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</si>
  <si>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</si>
  <si>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</si>
  <si>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</si>
  <si>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</si>
  <si>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</si>
  <si>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</si>
  <si>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</si>
  <si>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</si>
  <si>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</si>
  <si>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</si>
  <si>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</si>
  <si>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</si>
  <si>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</si>
  <si>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</si>
  <si>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</si>
  <si>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</si>
  <si>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</si>
  <si>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</si>
  <si>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</si>
  <si>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</si>
  <si>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</si>
  <si>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</si>
  <si>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</si>
  <si>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</si>
  <si>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</si>
  <si>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</si>
  <si>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</si>
  <si>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</si>
  <si>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</si>
  <si>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</si>
  <si>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</si>
  <si>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</si>
  <si>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</si>
  <si>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</si>
  <si>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</si>
  <si>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</si>
  <si>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</si>
  <si>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</si>
  <si>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</si>
  <si>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</si>
  <si>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</si>
  <si>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</si>
  <si>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</si>
  <si>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</si>
  <si>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</si>
  <si>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</si>
  <si>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</si>
  <si>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</si>
  <si>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</si>
  <si>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</si>
  <si>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</si>
  <si>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</si>
  <si>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</si>
  <si>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</si>
  <si>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</si>
  <si>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</si>
  <si>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</si>
  <si>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</si>
  <si>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</si>
  <si>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</si>
  <si>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</si>
  <si>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</si>
  <si>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</si>
  <si>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</si>
  <si>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</si>
  <si>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</si>
  <si>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</si>
  <si>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</si>
  <si>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</si>
  <si>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</si>
  <si>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</si>
  <si>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</si>
  <si>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</si>
  <si>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</si>
  <si>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</si>
  <si>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</si>
  <si>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</si>
  <si>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</si>
  <si>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</si>
  <si>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</si>
  <si>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</si>
  <si>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</si>
  <si>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</si>
  <si>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</si>
  <si>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</si>
  <si>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na</t>
  </si>
  <si>
    <t>FC &gt;1</t>
  </si>
  <si>
    <t>p-value &lt;0.05</t>
  </si>
  <si>
    <t>(out of 130 vectors)</t>
  </si>
  <si>
    <t>%</t>
  </si>
  <si>
    <t>snps.PIP</t>
  </si>
  <si>
    <t>0.308;0.223</t>
  </si>
  <si>
    <t>0.141;0.132</t>
  </si>
  <si>
    <t>0.14;0.176;0.263;0.125;0.208</t>
  </si>
  <si>
    <t>0.246;0.242</t>
  </si>
  <si>
    <t>0.336;0.433</t>
  </si>
  <si>
    <t>0.246;0.197</t>
  </si>
  <si>
    <t>0.228;0.208</t>
  </si>
  <si>
    <t>0.166;0.121</t>
  </si>
  <si>
    <t>0.144;0.124</t>
  </si>
  <si>
    <t>0.082;0.073</t>
  </si>
  <si>
    <t>GroupID</t>
  </si>
  <si>
    <t>9_0</t>
  </si>
  <si>
    <t>25_0</t>
  </si>
  <si>
    <t>32_0</t>
  </si>
  <si>
    <t>112_0</t>
  </si>
  <si>
    <t>157_0</t>
  </si>
  <si>
    <t>177_1</t>
  </si>
  <si>
    <t>193_0</t>
  </si>
  <si>
    <t>355_1</t>
  </si>
  <si>
    <t>475_1</t>
  </si>
  <si>
    <t>502_1</t>
  </si>
  <si>
    <t>523_0</t>
  </si>
  <si>
    <t>571_1</t>
  </si>
  <si>
    <t>608_0</t>
  </si>
  <si>
    <t>618_1</t>
  </si>
  <si>
    <t>650_0</t>
  </si>
  <si>
    <t>657_1</t>
  </si>
  <si>
    <t>664_0</t>
  </si>
  <si>
    <t>736_1</t>
  </si>
  <si>
    <t>737_0</t>
  </si>
  <si>
    <t>838_1</t>
  </si>
  <si>
    <t>869_1</t>
  </si>
  <si>
    <t>905_0</t>
  </si>
  <si>
    <t>939_0</t>
  </si>
  <si>
    <t>987_0</t>
  </si>
  <si>
    <t>989_1</t>
  </si>
  <si>
    <t>993_1</t>
  </si>
  <si>
    <t>998_1</t>
  </si>
  <si>
    <t>999_1</t>
  </si>
  <si>
    <t>1060_1</t>
  </si>
  <si>
    <t>1168_0</t>
  </si>
  <si>
    <t>1195_0</t>
  </si>
  <si>
    <t>1204_1</t>
  </si>
  <si>
    <t>1246_1</t>
  </si>
  <si>
    <t>1256_0</t>
  </si>
  <si>
    <t>1302_0</t>
  </si>
  <si>
    <t>1337_2</t>
  </si>
  <si>
    <t>1337_1</t>
  </si>
  <si>
    <t>1337_3</t>
  </si>
  <si>
    <t>35x</t>
  </si>
  <si>
    <t>stdev</t>
  </si>
  <si>
    <t>average</t>
  </si>
  <si>
    <t>ttest_23</t>
  </si>
  <si>
    <t>nluc/luc2_empty4</t>
  </si>
  <si>
    <t>nluc/luc2_empty5</t>
  </si>
  <si>
    <t>nluc/luc2_empty6</t>
  </si>
  <si>
    <t>SEM_luc</t>
  </si>
  <si>
    <t>size</t>
  </si>
  <si>
    <t>https://en.vectorbuilder.com/vector/VB251217-1041seb.html</t>
  </si>
  <si>
    <t>https://en.vectorbuilder.com/vector/VB251217-1042zkg.html</t>
  </si>
  <si>
    <t>https://en.vectorbuilder.com/vector/VB251217-1043zew.html</t>
  </si>
  <si>
    <t>https://en.vectorbuilder.com/vector/VB251217-1044sde.html</t>
  </si>
  <si>
    <t>https://en.vectorbuilder.com/vector/VB251217-1045jem.html</t>
  </si>
  <si>
    <t>https://en.vectorbuilder.com/vector/VB251217-1046cqc.html</t>
  </si>
  <si>
    <t>https://en.vectorbuilder.com/vector/VB251217-1047hur.html</t>
  </si>
  <si>
    <t>https://en.vectorbuilder.com/vector/VB251217-1048nnr.html</t>
  </si>
  <si>
    <t>https://en.vectorbuilder.com/vector/VB251217-1049uug.html</t>
  </si>
  <si>
    <t>https://en.vectorbuilder.com/vector/VB251217-1050xem.html</t>
  </si>
  <si>
    <t>https://en.vectorbuilder.com/vector/VB251217-1051ubc.html</t>
  </si>
  <si>
    <t>https://en.vectorbuilder.com/vector/VB251217-1052jgv.html</t>
  </si>
  <si>
    <t>https://en.vectorbuilder.com/vector/VB251217-1053pze.html</t>
  </si>
  <si>
    <t>https://en.vectorbuilder.com/vector/VB251217-1054fvm.html</t>
  </si>
  <si>
    <t>https://en.vectorbuilder.com/vector/VB251217-1055hkp.html</t>
  </si>
  <si>
    <t>https://en.vectorbuilder.com/vector/VB251217-1056nsh.html</t>
  </si>
  <si>
    <t>https://en.vectorbuilder.com/vector/VB251217-1057sfz.html</t>
  </si>
  <si>
    <t>https://en.vectorbuilder.com/vector/VB251217-1058dzk.html</t>
  </si>
  <si>
    <t>https://en.vectorbuilder.com/vector/VB251217-1059twd.html</t>
  </si>
  <si>
    <t>https://en.vectorbuilder.com/vector/VB251217-1060tda.html</t>
  </si>
  <si>
    <t>https://en.vectorbuilder.com/vector/VB251217-1061tmf.html</t>
  </si>
  <si>
    <t>https://en.vectorbuilder.com/vector/VB251217-1062gax.html</t>
  </si>
  <si>
    <t>https://en.vectorbuilder.com/vector/VB251217-1063xvh.html</t>
  </si>
  <si>
    <t>https://en.vectorbuilder.com/vector/VB251217-1064jep.html</t>
  </si>
  <si>
    <t>https://en.vectorbuilder.com/vector/VB251217-1065rjr.html</t>
  </si>
  <si>
    <t>https://en.vectorbuilder.com/vector/VB251217-1066rva.html</t>
  </si>
  <si>
    <t>https://en.vectorbuilder.com/vector/VB251217-1067smf.html</t>
  </si>
  <si>
    <t>https://en.vectorbuilder.com/vector/VB251217-1068vxv.html</t>
  </si>
  <si>
    <t>https://en.vectorbuilder.com/vector/VB251217-1069yqy.html</t>
  </si>
  <si>
    <t>https://en.vectorbuilder.com/vector/VB251217-1070ckb.html</t>
  </si>
  <si>
    <t>https://en.vectorbuilder.com/vector/VB251217-1071fgx.html</t>
  </si>
  <si>
    <t>https://en.vectorbuilder.com/vector/VB251217-1072ypw.html</t>
  </si>
  <si>
    <t>https://en.vectorbuilder.com/vector/VB251217-1073qva.html</t>
  </si>
  <si>
    <t>https://en.vectorbuilder.com/vector/VB251217-1074nxu.html</t>
  </si>
  <si>
    <t>https://en.vectorbuilder.com/vector/VB251217-1075zce.html</t>
  </si>
  <si>
    <t>https://en.vectorbuilder.com/vector/VB251217-1076crg.html</t>
  </si>
  <si>
    <t>https://en.vectorbuilder.com/vector/VB251217-1077rmu.html</t>
  </si>
  <si>
    <t>https://en.vectorbuilder.com/vector/VB251217-1078bnh.html</t>
  </si>
  <si>
    <t>https://en.vectorbuilder.com/vector/VB251217-1079xys.html</t>
  </si>
  <si>
    <t>https://en.vectorbuilder.com/vector/VB251217-1080qfa.html</t>
  </si>
  <si>
    <t>https://en.vectorbuilder.com/vector/VB251217-1081bgq.html</t>
  </si>
  <si>
    <t>https://en.vectorbuilder.com/vector/VB251217-1082cay.html</t>
  </si>
  <si>
    <t>https://en.vectorbuilder.com/vector/VB251217-1083tse.html</t>
  </si>
  <si>
    <t>https://en.vectorbuilder.com/vector/VB251217-1084awj.html</t>
  </si>
  <si>
    <t>https://en.vectorbuilder.com/vector/VB251217-1085uxt.html</t>
  </si>
  <si>
    <t>https://en.vectorbuilder.com/vector/VB251217-1086jmy.html</t>
  </si>
  <si>
    <t>https://en.vectorbuilder.com/vector/VB251217-1087pgz.html</t>
  </si>
  <si>
    <t>https://en.vectorbuilder.com/vector/VB251217-1088zha.html</t>
  </si>
  <si>
    <t>https://en.vectorbuilder.com/vector/VB251217-1089ems.html</t>
  </si>
  <si>
    <t>https://en.vectorbuilder.com/vector/VB251217-1090fvx.html</t>
  </si>
  <si>
    <t>https://en.vectorbuilder.com/vector/VB251217-1091grz.html</t>
  </si>
  <si>
    <t>https://en.vectorbuilder.com/vector/VB251217-1092nwx.html</t>
  </si>
  <si>
    <t>https://en.vectorbuilder.com/vector/VB251217-1093nqe.html</t>
  </si>
  <si>
    <t>https://en.vectorbuilder.com/vector/VB251217-1094ggs.html</t>
  </si>
  <si>
    <t>https://en.vectorbuilder.com/vector/VB251217-1095fxe.html</t>
  </si>
  <si>
    <t>https://en.vectorbuilder.com/vector/VB251217-1096hzs.html</t>
  </si>
  <si>
    <t>https://en.vectorbuilder.com/vector/VB251217-1097kbn.html</t>
  </si>
  <si>
    <t>https://en.vectorbuilder.com/vector/VB251217-1098yxm.html</t>
  </si>
  <si>
    <t>https://en.vectorbuilder.com/vector/VB251217-1099hsc.html</t>
  </si>
  <si>
    <t>https://en.vectorbuilder.com/vector/VB251217-1100xqx.html</t>
  </si>
  <si>
    <t>https://en.vectorbuilder.com/vector/VB251217-1101qpa.html</t>
  </si>
  <si>
    <t>https://en.vectorbuilder.com/vector/VB251217-1102ett.html</t>
  </si>
  <si>
    <t>https://en.vectorbuilder.com/vector/VB251217-1103yuj.html</t>
  </si>
  <si>
    <t>https://en.vectorbuilder.com/vector/VB251217-1104zpe.html</t>
  </si>
  <si>
    <t>https://en.vectorbuilder.com/vector/VB251217-1105fww.html</t>
  </si>
  <si>
    <t>https://en.vectorbuilder.com/vector/VB251217-1106xej.html</t>
  </si>
  <si>
    <t>https://en.vectorbuilder.com/vector/VB251217-1107ath.html</t>
  </si>
  <si>
    <t>https://en.vectorbuilder.com/vector/VB251217-1108sju.html</t>
  </si>
  <si>
    <t>https://en.vectorbuilder.com/vector/VB251217-1109ymx.html</t>
  </si>
  <si>
    <t>https://en.vectorbuilder.com/vector/VB251217-1110mvw.html</t>
  </si>
  <si>
    <t>https://en.vectorbuilder.com/vector/VB251217-1111vta.html</t>
  </si>
  <si>
    <t>https://en.vectorbuilder.com/vector/VB251217-1112hrh.html</t>
  </si>
  <si>
    <t>https://en.vectorbuilder.com/vector/VB251217-1113end.html</t>
  </si>
  <si>
    <t>https://en.vectorbuilder.com/vector/VB251217-1114aug.html</t>
  </si>
  <si>
    <t>https://en.vectorbuilder.com/vector/VB251217-1115erf.html</t>
  </si>
  <si>
    <t>https://en.vectorbuilder.com/vector/VB251217-1116faa.html</t>
  </si>
  <si>
    <t>https://en.vectorbuilder.com/vector/VB251217-1117grz.html</t>
  </si>
  <si>
    <t>https://en.vectorbuilder.com/vector/VB251217-1118ttn.html</t>
  </si>
  <si>
    <t>https://en.vectorbuilder.com/vector/VB251217-1119zad.html</t>
  </si>
  <si>
    <t>https://en.vectorbuilder.com/vector/VB251217-1120gbt.html</t>
  </si>
  <si>
    <t>https://en.vectorbuilder.com/vector/VB251217-1121xay.html</t>
  </si>
  <si>
    <t>https://en.vectorbuilder.com/vector/VB251217-1122ygb.html</t>
  </si>
  <si>
    <t>https://en.vectorbuilder.com/vector/VB251217-1123wgy.html</t>
  </si>
  <si>
    <t>https://en.vectorbuilder.com/vector/VB251217-1124sef.html</t>
  </si>
  <si>
    <t>https://en.vectorbuilder.com/vector/VB251217-1125hbx.html</t>
  </si>
  <si>
    <t>https://en.vectorbuilder.com/vector/VB251217-1126jjd.html</t>
  </si>
  <si>
    <t>https://en.vectorbuilder.com/vector/VB251217-1127vqx.html</t>
  </si>
  <si>
    <t>https://en.vectorbuilder.com/vector/VB251217-1128yca.html</t>
  </si>
  <si>
    <t>https://en.vectorbuilder.com/vector/VB251217-1129ypp.html</t>
  </si>
  <si>
    <t>https://en.vectorbuilder.com/vector/VB251217-1130szw.html</t>
  </si>
  <si>
    <t>https://en.vectorbuilder.com/vector/VB251217-1131hqa.html</t>
  </si>
  <si>
    <t>https://en.vectorbuilder.com/vector/VB251217-1132atm.html</t>
  </si>
  <si>
    <t>https://en.vectorbuilder.com/vector/VB251217-1133cjn.html</t>
  </si>
  <si>
    <t>https://en.vectorbuilder.com/vector/VB251217-1134jqr.html</t>
  </si>
  <si>
    <t>https://en.vectorbuilder.com/vector/VB251217-1135hmr.html</t>
  </si>
  <si>
    <t>https://en.vectorbuilder.com/vector/VB251217-1136bmv.html</t>
  </si>
  <si>
    <t>https://en.vectorbuilder.com/vector/VB251217-1137upb.html</t>
  </si>
  <si>
    <t>https://en.vectorbuilder.com/vector/VB251217-1138rnw.html</t>
  </si>
  <si>
    <t>https://en.vectorbuilder.com/vector/VB251217-1139fdf.html</t>
  </si>
  <si>
    <t>https://en.vectorbuilder.com/vector/VB251217-1140ywr.html</t>
  </si>
  <si>
    <t>https://en.vectorbuilder.com/vector/VB251217-1141gjd.html</t>
  </si>
  <si>
    <t>https://en.vectorbuilder.com/vector/VB251217-1142pwm.html</t>
  </si>
  <si>
    <t>https://en.vectorbuilder.com/vector/VB251217-1143yzu.html</t>
  </si>
  <si>
    <t>https://en.vectorbuilder.com/vector/VB251217-1144ytz.html</t>
  </si>
  <si>
    <t>https://en.vectorbuilder.com/vector/VB251217-1145kav.html</t>
  </si>
  <si>
    <t>https://en.vectorbuilder.com/vector/VB251217-1146vcj.html</t>
  </si>
  <si>
    <t>https://en.vectorbuilder.com/vector/VB251217-1147fye.html</t>
  </si>
  <si>
    <t>https://en.vectorbuilder.com/vector/VB251217-1148fry.html</t>
  </si>
  <si>
    <t>https://en.vectorbuilder.com/vector/VB251217-1149wyk.html</t>
  </si>
  <si>
    <t>https://en.vectorbuilder.com/vector/VB251217-1150pkx.html</t>
  </si>
  <si>
    <t>https://en.vectorbuilder.com/vector/VB251217-1151ycf.html</t>
  </si>
  <si>
    <t>https://en.vectorbuilder.com/vector/VB251217-1152eyq.html</t>
  </si>
  <si>
    <t>https://en.vectorbuilder.com/vector/VB251217-1153tbx.html</t>
  </si>
  <si>
    <t>https://en.vectorbuilder.com/vector/VB251217-1154wwa.html</t>
  </si>
  <si>
    <t>https://en.vectorbuilder.com/vector/VB251217-1155hhb.html</t>
  </si>
  <si>
    <t>https://en.vectorbuilder.com/vector/VB251217-1156kuf.html</t>
  </si>
  <si>
    <t>https://en.vectorbuilder.com/vector/VB251217-1157smn.html</t>
  </si>
  <si>
    <t>https://en.vectorbuilder.com/vector/VB251217-1158vvq.html</t>
  </si>
  <si>
    <t>https://en.vectorbuilder.com/vector/VB251217-1159uje.html</t>
  </si>
  <si>
    <t>https://en.vectorbuilder.com/vector/VB251217-1160fam.html</t>
  </si>
  <si>
    <t>https://en.vectorbuilder.com/vector/VB251217-1161fde.html</t>
  </si>
  <si>
    <t>https://en.vectorbuilder.com/vector/VB251217-1162phm.html</t>
  </si>
  <si>
    <t>https://en.vectorbuilder.com/vector/VB251217-1163zmr.html</t>
  </si>
  <si>
    <t>https://en.vectorbuilder.com/vector/VB251217-1164mwh.html</t>
  </si>
  <si>
    <t>https://en.vectorbuilder.com/vector/VB251217-1165ans.html</t>
  </si>
  <si>
    <t>https://en.vectorbuilder.com/vector/VB251217-1166fry.html</t>
  </si>
  <si>
    <t>https://en.vectorbuilder.com/vector/VB251217-1167raw.html</t>
  </si>
  <si>
    <t>https://en.vectorbuilder.com/vector/VB251217-1168ybf.html</t>
  </si>
  <si>
    <t>https://en.vectorbuilder.com/vector/VB251217-1169zeh.html</t>
  </si>
  <si>
    <t>https://en.vectorbuilder.com/vector/VB251217-1170qut.html</t>
  </si>
  <si>
    <t>vector_sequence</t>
  </si>
  <si>
    <t>vector_number</t>
  </si>
  <si>
    <t>pRP[En]-AgeI/NdeI/{1:54764012_54764312:REF}/NheI/EcoRI/miniCMV&gt;Nluc(ns):tPT2A:tdTomato</t>
  </si>
  <si>
    <t>pRP[En]-AgeI/NdeI/{1:54764012_54764312:RISK}/NheI/EcoRI/miniCMV&gt;Nluc(ns):tPT2A:tdTomato</t>
  </si>
  <si>
    <t>pRP[En]-AgeI/NdeI/{1:67605267_67605849:REF}/NheI/EcoRI/miniCMV&gt;Nluc(ns):tPT2A:tdTomato</t>
  </si>
  <si>
    <t>pRP[En]-AgeI/NdeI/{1:67605267_67605849:RISK}/NheI/EcoRI/miniCMV&gt;Nluc(ns):tPT2A:tdTomato</t>
  </si>
  <si>
    <t>pRP[En]-AgeI/NdeI/{2:10331160_10331460:REF}/NheI/EcoRI/miniCMV&gt;Nluc(ns):tPT2A:tdTomato</t>
  </si>
  <si>
    <t>pRP[En]-AgeI/NdeI/{2:10331160_10331460:RISK}/NheI/EcoRI/miniCMV&gt;Nluc(ns):tPT2A:tdTomato</t>
  </si>
  <si>
    <t>pRP[En]-AgeI/NdeI/{2:105337039_105337339:REF}/NheI/EcoRI/miniCMV&gt;Nluc(ns):tPT2A:tdTomato</t>
  </si>
  <si>
    <t>pRP[En]-AgeI/NdeI/{2:105337039_105337339:RISK}/NheI/EcoRI/miniCMV&gt;Nluc(ns):tPT2A:tdTomato</t>
  </si>
  <si>
    <t>pRP[En]-AgeI/NdeI/{2:145366736_145367036:REF}/NheI/EcoRI/miniCMV&gt;Nluc(ns):tPT2A:tdTomato</t>
  </si>
  <si>
    <t>pRP[En]-AgeI/NdeI/{2:145366736_145367036:RISK}/NheI/EcoRI/miniCMV&gt;Nluc(ns):tPT2A:tdTomato</t>
  </si>
  <si>
    <t>pRP[En]-AgeI/NdeI/{2:191151052_191151352:REF}/NheI/EcoRI/miniCMV&gt;Nluc(ns):tPT2A:tdTomato</t>
  </si>
  <si>
    <t>pRP[En]-AgeI/NdeI/{2:191151052_191151352:RISK}/NheI/EcoRI/miniCMV&gt;Nluc(ns):tPT2A:tdTomato</t>
  </si>
  <si>
    <t>pRP[En]-AgeI/NdeI/{4:82898867_82899167:REF}/NheI/EcoRI/miniCMV&gt;Nluc(ns):tPT2A:tdTomato</t>
  </si>
  <si>
    <t>pRP[En]-AgeI/NdeI/{4:82898867_82899167:RISK}/NheI/EcoRI/miniCMV&gt;Nluc(ns):tPT2A:tdTomato</t>
  </si>
  <si>
    <t>pRP[En]-AgeI/NdeI/{4:82900021_82900321:REF}/NheI/EcoRI/miniCMV&gt;Nluc(ns):tPT2A:tdTomato</t>
  </si>
  <si>
    <t>pRP[En]-AgeI/NdeI/{4:82900021_82900321:RISK}/NheI/EcoRI/miniCMV&gt;Nluc(ns):tPT2A:tdTomato</t>
  </si>
  <si>
    <t>pRP[En]-AgeI/NdeI/{4:82901031_82901331:REF}/NheI/EcoRI/miniCMV&gt;Nluc(ns):tPT2A:tdTomato</t>
  </si>
  <si>
    <t>pRP[En]-AgeI/NdeI/{4:82901031_82901331:RISK}/NheI/EcoRI/miniCMV&gt;Nluc(ns):tPT2A:tdTomato</t>
  </si>
  <si>
    <t>pRP[En]-AgeI/NdeI/{4:82989731_82990031:REF}/NheI/EcoRI/miniCMV&gt;Nluc(ns):tPT2A:tdTomato</t>
  </si>
  <si>
    <t>pRP[En]-AgeI/NdeI/{4:82989731_82990031:RISK}/NheI/EcoRI/miniCMV&gt;Nluc(ns):tPT2A:tdTomato</t>
  </si>
  <si>
    <t>pRP[En]-AgeI/NdeI/{4:83010384_83010684:REF}/NheI/EcoRI/miniCMV&gt;Nluc(ns):tPT2A:tdTomato</t>
  </si>
  <si>
    <t>pRP[En]-AgeI/NdeI/{4:83010384_83010684:RISK}/NheI/EcoRI/miniCMV&gt;Nluc(ns):tPT2A:tdTomato</t>
  </si>
  <si>
    <t>pRP[En]-AgeI/NdeI/{5:132454574_132454874:REF}/NheI/EcoRI/miniCMV&gt;Nluc(ns):tPT2A:tdTomato</t>
  </si>
  <si>
    <t>pRP[En]-AgeI/NdeI/{5:132454574_132454874:RISK}/NheI/EcoRI/miniCMV&gt;Nluc(ns):tPT2A:tdTomato</t>
  </si>
  <si>
    <t>pRP[En]-AgeI/NdeI/{5:132455522_132455822:REF}/NheI/EcoRI/miniCMV&gt;Nluc(ns):tPT2A:tdTomato</t>
  </si>
  <si>
    <t>pRP[En]-AgeI/NdeI/{5:132455522_132455822:RISK}/NheI/EcoRI/miniCMV&gt;Nluc(ns):tPT2A:tdTomato</t>
  </si>
  <si>
    <t>pRP[En]-AgeI/NdeI/{5:132455829_132456304:REF}/NheI/EcoRI/miniCMV&gt;Nluc(ns):tPT2A:tdTomato</t>
  </si>
  <si>
    <t>pRP[En]-AgeI/NdeI/{5:132455829_132456304:RISK}/NheI/EcoRI/miniCMV&gt;Nluc(ns):tPT2A:tdTomato</t>
  </si>
  <si>
    <t>pRP[En]-AgeI/NdeI/{5:132464757_132465057:REF}/NheI/EcoRI/miniCMV&gt;Nluc(ns):tPT2A:tdTomato</t>
  </si>
  <si>
    <t>pRP[En]-AgeI/NdeI/{5:132464757_132465057:RISK}/NheI/EcoRI/miniCMV&gt;Nluc(ns):tPT2A:tdTomato</t>
  </si>
  <si>
    <t>pRP[En]-AgeI/NdeI/{6:2970275_2970575:REF}/NheI/EcoRI/miniCMV&gt;Nluc(ns):tPT2A:tdTomato</t>
  </si>
  <si>
    <t>pRP[En]-AgeI/NdeI/{6:2970275_2970575:RISK}/NheI/EcoRI/miniCMV&gt;Nluc(ns):tPT2A:tdTomato</t>
  </si>
  <si>
    <t>pRP[En]-AgeI/NdeI/{6:2971736_2972036:REF}/NheI/EcoRI/miniCMV&gt;Nluc(ns):tPT2A:tdTomato</t>
  </si>
  <si>
    <t>pRP[En]-AgeI/NdeI/{6:2971736_2972036:RISK}/NheI/EcoRI/miniCMV&gt;Nluc(ns):tPT2A:tdTomato</t>
  </si>
  <si>
    <t>pRP[En]-AgeI/NdeI/{6:36962888_36963188:REF}/NheI/EcoRI/miniCMV&gt;Nluc(ns):tPT2A:tdTomato</t>
  </si>
  <si>
    <t>pRP[En]-AgeI/NdeI/{6:36962888_36963188:RISK}/NheI/EcoRI/miniCMV&gt;Nluc(ns):tPT2A:tdTomato</t>
  </si>
  <si>
    <t>pRP[En]-AgeI/NdeI/{6:135114213_135114513:REF}/NheI/EcoRI/miniCMV&gt;Nluc(ns):tPT2A:tdTomato</t>
  </si>
  <si>
    <t>pRP[En]-AgeI/NdeI/{6:135114213_135114513:RISK}/NheI/EcoRI/miniCMV&gt;Nluc(ns):tPT2A:tdTomato</t>
  </si>
  <si>
    <t>pRP[En]-AgeI/NdeI/{7:26397659_26397959:REF}/NheI/EcoRI/miniCMV&gt;Nluc(ns):tPT2A:tdTomato</t>
  </si>
  <si>
    <t>pRP[En]-AgeI/NdeI/{7:26397659_26397959:RISK}/NheI/EcoRI/miniCMV&gt;Nluc(ns):tPT2A:tdTomato</t>
  </si>
  <si>
    <t>pRP[En]-AgeI/NdeI/{7:50409296_50410139:REF}/NheI/EcoRI/miniCMV&gt;Nluc(ns):tPT2A:tdTomato</t>
  </si>
  <si>
    <t>pRP[En]-AgeI/NdeI/{7:50409296_50410139:RISK}/NheI/EcoRI/miniCMV&gt;Nluc(ns):tPT2A:tdTomato</t>
  </si>
  <si>
    <t>pRP[En]-AgeI/NdeI/{7:128406943_128407508:REF}/NheI/EcoRI/miniCMV&gt;Nluc(ns):tPT2A:tdTomato</t>
  </si>
  <si>
    <t>pRP[En]-AgeI/NdeI/{7:128406943_128407508:RISK}/NheI/EcoRI/miniCMV&gt;Nluc(ns):tPT2A:tdTomato</t>
  </si>
  <si>
    <t>pRP[En]-AgeI/NdeI/{7:140478604_140478904:REF}/NheI/EcoRI/miniCMV&gt;Nluc(ns):tPT2A:tdTomato</t>
  </si>
  <si>
    <t>pRP[En]-AgeI/NdeI/{7:140478604_140478904:RISK}/NheI/EcoRI/miniCMV&gt;Nluc(ns):tPT2A:tdTomato</t>
  </si>
  <si>
    <t>pRP[En]-AgeI/NdeI/{7:150443524_150444003:REF}/NheI/EcoRI/miniCMV&gt;Nluc(ns):tPT2A:tdTomato</t>
  </si>
  <si>
    <t>pRP[En]-AgeI/NdeI/{7:150443524_150444003:RISK}/NheI/EcoRI/miniCMV&gt;Nluc(ns):tPT2A:tdTomato</t>
  </si>
  <si>
    <t>pRP[En]-AgeI/NdeI/{8:129172780_129173080:REF}/NheI/EcoRI/miniCMV&gt;Nluc(ns):tPT2A:tdTomato</t>
  </si>
  <si>
    <t>pRP[En]-AgeI/NdeI/{8:129172780_129173080:RISK}/NheI/EcoRI/miniCMV&gt;Nluc(ns):tPT2A:tdTomato</t>
  </si>
  <si>
    <t>pRP[En]-AgeI/NdeI/{8:130042805_130043105:REF}/NheI/EcoRI/miniCMV&gt;Nluc(ns):tPT2A:tdTomato</t>
  </si>
  <si>
    <t>pRP[En]-AgeI/NdeI/{8:130042805_130043105:RISK}/NheI/EcoRI/miniCMV&gt;Nluc(ns):tPT2A:tdTomato</t>
  </si>
  <si>
    <t>pRP[En]-AgeI/NdeI/{10:61961267_61961567:REF}/NheI/EcoRI/miniCMV&gt;Nluc(ns):tPT2A:tdTomato</t>
  </si>
  <si>
    <t>pRP[En]-AgeI/NdeI/{10:61961267_61961567:RISK}/NheI/EcoRI/miniCMV&gt;Nluc(ns):tPT2A:tdTomato</t>
  </si>
  <si>
    <t>pRP[En]-AgeI/NdeI/{10:61964481_61964781:REF}/NheI/EcoRI/miniCMV&gt;Nluc(ns):tPT2A:tdTomato</t>
  </si>
  <si>
    <t>pRP[En]-AgeI/NdeI/{10:61964481_61964781:RISK}/NheI/EcoRI/miniCMV&gt;Nluc(ns):tPT2A:tdTomato</t>
  </si>
  <si>
    <t>pRP[En]-AgeI/NdeI/{10:124603936_124604319:REF}/NheI/EcoRI/miniCMV&gt;Nluc(ns):tPT2A:tdTomato</t>
  </si>
  <si>
    <t>pRP[En]-AgeI/NdeI/{10:124603936_124604319:RISK}/NheI/EcoRI/miniCMV&gt;Nluc(ns):tPT2A:tdTomato</t>
  </si>
  <si>
    <t>pRP[En]-AgeI/NdeI/{10:124605565_124606061:REF}/NheI/EcoRI/miniCMV&gt;Nluc(ns):tPT2A:tdTomato</t>
  </si>
  <si>
    <t>pRP[En]-AgeI/NdeI/{10:124605565_124606061:RISK}/NheI/EcoRI/miniCMV&gt;Nluc(ns):tPT2A:tdTomato</t>
  </si>
  <si>
    <t>pRP[En]-AgeI/NdeI/{10:124606836_124607136:REF}/NheI/EcoRI/miniCMV&gt;Nluc(ns):tPT2A:tdTomato</t>
  </si>
  <si>
    <t>pRP[En]-AgeI/NdeI/{10:124606836_124607136:RISK}/NheI/EcoRI/miniCMV&gt;Nluc(ns):tPT2A:tdTomato</t>
  </si>
  <si>
    <t>pRP[En]-AgeI/NdeI/{11:57571738_57572038:REF}/NheI/EcoRI/miniCMV&gt;Nluc(ns):tPT2A:tdTomato</t>
  </si>
  <si>
    <t>pRP[En]-AgeI/NdeI/{11:57571738_57572038:RISK}/NheI/EcoRI/miniCMV&gt;Nluc(ns):tPT2A:tdTomato</t>
  </si>
  <si>
    <t>pRP[En]-AgeI/NdeI/{11:128568380_128568680:REF}/NheI/EcoRI/miniCMV&gt;Nluc(ns):tPT2A:tdTomato</t>
  </si>
  <si>
    <t>pRP[En]-AgeI/NdeI/{11:128568380_128568680:RISK}/NheI/EcoRI/miniCMV&gt;Nluc(ns):tPT2A:tdTomato</t>
  </si>
  <si>
    <t>pRP[En]-AgeI/NdeI/{12:93590815_93591115:REF}/NheI/EcoRI/miniCMV&gt;Nluc(ns):tPT2A:tdTomato</t>
  </si>
  <si>
    <t>pRP[En]-AgeI/NdeI/{12:93590815_93591115:RISK}/NheI/EcoRI/miniCMV&gt;Nluc(ns):tPT2A:tdTomato</t>
  </si>
  <si>
    <t>pRP[En]-AgeI/NdeI/{12:96192693_96192993:REF}/NheI/EcoRI/miniCMV&gt;Nluc(ns):tPT2A:tdTomato</t>
  </si>
  <si>
    <t>pRP[En]-AgeI/NdeI/{12:96192693_96192993:RISK}/NheI/EcoRI/miniCMV&gt;Nluc(ns):tPT2A:tdTomato</t>
  </si>
  <si>
    <t>pRP[En]-AgeI/NdeI/{12:96198160_96198460:REF}/NheI/EcoRI/miniCMV&gt;Nluc(ns):tPT2A:tdTomato</t>
  </si>
  <si>
    <t>pRP[En]-AgeI/NdeI/{12:96198160_96198460:RISK}/NheI/EcoRI/miniCMV&gt;Nluc(ns):tPT2A:tdTomato</t>
  </si>
  <si>
    <t>pRP[En]-AgeI/NdeI/{12:96204021_96204321:REF}/NheI/EcoRI/miniCMV&gt;Nluc(ns):tPT2A:tdTomato</t>
  </si>
  <si>
    <t>pRP[En]-AgeI/NdeI/{12:96204021_96204321:RISK}/NheI/EcoRI/miniCMV&gt;Nluc(ns):tPT2A:tdTomato</t>
  </si>
  <si>
    <t>pRP[En]-AgeI/NdeI/{12:96208292_96208592:REF}/NheI/EcoRI/miniCMV&gt;Nluc(ns):tPT2A:tdTomato</t>
  </si>
  <si>
    <t>pRP[En]-AgeI/NdeI/{12:96208292_96208592:RISK}/NheI/EcoRI/miniCMV&gt;Nluc(ns):tPT2A:tdTomato</t>
  </si>
  <si>
    <t>pRP[En]-AgeI/NdeI/{12:96212961_96213261:REF}/NheI/EcoRI/miniCMV&gt;Nluc(ns):tPT2A:tdTomato</t>
  </si>
  <si>
    <t>pRP[En]-AgeI/NdeI/{12:96212961_96213261:RISK}/NheI/EcoRI/miniCMV&gt;Nluc(ns):tPT2A:tdTomato</t>
  </si>
  <si>
    <t>pRP[En]-AgeI/NdeI/{12:103928286_103928586:REF}/NheI/EcoRI/miniCMV&gt;Nluc(ns):tPT2A:tdTomato</t>
  </si>
  <si>
    <t>pRP[En]-AgeI/NdeI/{12:103928286_103928586:RISK}/NheI/EcoRI/miniCMV&gt;Nluc(ns):tPT2A:tdTomato</t>
  </si>
  <si>
    <t>pRP[En]-AgeI/NdeI/{12:103965126_103965426:REF}/NheI/EcoRI/miniCMV&gt;Nluc(ns):tPT2A:tdTomato</t>
  </si>
  <si>
    <t>pRP[En]-AgeI/NdeI/{12:103965126_103965426:RISK}/NheI/EcoRI/miniCMV&gt;Nluc(ns):tPT2A:tdTomato</t>
  </si>
  <si>
    <t>pRP[En]-AgeI/NdeI/{12:116662258_116662558:REF}/NheI/EcoRI/miniCMV&gt;Nluc(ns):tPT2A:tdTomato</t>
  </si>
  <si>
    <t>pRP[En]-AgeI/NdeI/{12:116662258_116662558:RISK}/NheI/EcoRI/miniCMV&gt;Nluc(ns):tPT2A:tdTomato</t>
  </si>
  <si>
    <t>pRP[En]-AgeI/NdeI/{12:116673406_116673731:REF}/NheI/EcoRI/miniCMV&gt;Nluc(ns):tPT2A:tdTomato</t>
  </si>
  <si>
    <t>pRP[En]-AgeI/NdeI/{12:116673406_116673731:RISK}/NheI/EcoRI/miniCMV&gt;Nluc(ns):tPT2A:tdTomato</t>
  </si>
  <si>
    <t>pRP[En]-AgeI/NdeI/{12:116674172_116674472:REF}/NheI/EcoRI/miniCMV&gt;Nluc(ns):tPT2A:tdTomato</t>
  </si>
  <si>
    <t>pRP[En]-AgeI/NdeI/{12:116674172_116674472:RISK}/NheI/EcoRI/miniCMV&gt;Nluc(ns):tPT2A:tdTomato</t>
  </si>
  <si>
    <t>pRP[En]-AgeI/NdeI/{12:116695445_116695745:REF}/NheI/EcoRI/miniCMV&gt;Nluc(ns):tPT2A:tdTomato</t>
  </si>
  <si>
    <t>pRP[En]-AgeI/NdeI/{12:116695445_116695745:RISK}/NheI/EcoRI/miniCMV&gt;Nluc(ns):tPT2A:tdTomato</t>
  </si>
  <si>
    <t>pRP[En]-AgeI/NdeI/{12:117889355_117889655:REF}/NheI/EcoRI/miniCMV&gt;Nluc(ns):tPT2A:tdTomato</t>
  </si>
  <si>
    <t>pRP[En]-AgeI/NdeI/{12:117889355_117889655:RISK}/NheI/EcoRI/miniCMV&gt;Nluc(ns):tPT2A:tdTomato</t>
  </si>
  <si>
    <t>pRP[En]-AgeI/NdeI/{12:117890235_117890535:REF}/NheI/EcoRI/miniCMV&gt;Nluc(ns):tPT2A:tdTomato</t>
  </si>
  <si>
    <t>pRP[En]-AgeI/NdeI/{12:117890235_117890535:RISK}/NheI/EcoRI/miniCMV&gt;Nluc(ns):tPT2A:tdTomato</t>
  </si>
  <si>
    <t>pRP[En]-AgeI/NdeI/{12:117896997_117897297:REF}/NheI/EcoRI/miniCMV&gt;Nluc(ns):tPT2A:tdTomato</t>
  </si>
  <si>
    <t>pRP[En]-AgeI/NdeI/{12:117896997_117897297:RISK}/NheI/EcoRI/miniCMV&gt;Nluc(ns):tPT2A:tdTomato</t>
  </si>
  <si>
    <t>pRP[En]-AgeI/NdeI/{14:23119990_23120290:REF}/NheI/EcoRI/miniCMV&gt;Nluc(ns):tPT2A:tdTomato</t>
  </si>
  <si>
    <t>pRP[En]-AgeI/NdeI/{14:23119990_23120290:RISK}/NheI/EcoRI/miniCMV&gt;Nluc(ns):tPT2A:tdTomato</t>
  </si>
  <si>
    <t>pRP[En]-AgeI/NdeI/{16:67547830_67548130:REF}/NheI/EcoRI/miniCMV&gt;Nluc(ns):tPT2A:tdTomato</t>
  </si>
  <si>
    <t>pRP[En]-AgeI/NdeI/{16:67547830_67548130:RISK}/NheI/EcoRI/miniCMV&gt;Nluc(ns):tPT2A:tdTomato</t>
  </si>
  <si>
    <t>pRP[En]-AgeI/NdeI/{17:17724777_17725077:REF}/NheI/EcoRI/miniCMV&gt;Nluc(ns):tPT2A:tdTomato</t>
  </si>
  <si>
    <t>pRP[En]-AgeI/NdeI/{17:17724777_17725077:RISK}/NheI/EcoRI/miniCMV&gt;Nluc(ns):tPT2A:tdTomato</t>
  </si>
  <si>
    <t>pRP[En]-AgeI/NdeI/{17:17725821_17726121:REF}/NheI/EcoRI/miniCMV&gt;Nluc(ns):tPT2A:tdTomato</t>
  </si>
  <si>
    <t>pRP[En]-AgeI/NdeI/{17:17725821_17726121:RISK}/NheI/EcoRI/miniCMV&gt;Nluc(ns):tPT2A:tdTomato</t>
  </si>
  <si>
    <t>pRP[En]-AgeI/NdeI/{17:17750855_17751378:REF}/NheI/EcoRI/miniCMV&gt;Nluc(ns):tPT2A:tdTomato</t>
  </si>
  <si>
    <t>pRP[En]-AgeI/NdeI/{17:17750855_17751378:RISK}/NheI/EcoRI/miniCMV&gt;Nluc(ns):tPT2A:tdTomato</t>
  </si>
  <si>
    <t>pRP[En]-AgeI/NdeI/{17:49014564_49014864:REF}/NheI/EcoRI/miniCMV&gt;Nluc(ns):tPT2A:tdTomato</t>
  </si>
  <si>
    <t>pRP[En]-AgeI/NdeI/{17:49014564_49014864:RISK}/NheI/EcoRI/miniCMV&gt;Nluc(ns):tPT2A:tdTomato</t>
  </si>
  <si>
    <t>pRP[En]-AgeI/NdeI/{18:63138366_63138666:REF}/NheI/EcoRI/miniCMV&gt;Nluc(ns):tPT2A:tdTomato</t>
  </si>
  <si>
    <t>pRP[En]-AgeI/NdeI/{18:63138366_63138666:RISK}/NheI/EcoRI/miniCMV&gt;Nluc(ns):tPT2A:tdTomato</t>
  </si>
  <si>
    <t>pRP[En]-AgeI/NdeI/{18:63142857_63143157:REF}/NheI/EcoRI/miniCMV&gt;Nluc(ns):tPT2A:tdTomato</t>
  </si>
  <si>
    <t>pRP[En]-AgeI/NdeI/{18:63142857_63143157:RISK}/NheI/EcoRI/miniCMV&gt;Nluc(ns):tPT2A:tdTomato</t>
  </si>
  <si>
    <t>pRP[En]-AgeI/NdeI/{18:77022897_77023197:REF}/NheI/EcoRI/miniCMV&gt;Nluc(ns):tPT2A:tdTomato</t>
  </si>
  <si>
    <t>pRP[En]-AgeI/NdeI/{18:77022897_77023197:RISK}/NheI/EcoRI/miniCMV&gt;Nluc(ns):tPT2A:tdTomato</t>
  </si>
  <si>
    <t>pRP[En]-AgeI/NdeI/{20:17855989_17856289:REF}/NheI/EcoRI/miniCMV&gt;Nluc(ns):tPT2A:tdTomato</t>
  </si>
  <si>
    <t>pRP[En]-AgeI/NdeI/{20:17855989_17856289:RISK}/NheI/EcoRI/miniCMV&gt;Nluc(ns):tPT2A:tdTomato</t>
  </si>
  <si>
    <t>pRP[En]-AgeI/NdeI/{21:38404413_38404713:REF}/NheI/EcoRI/miniCMV&gt;Nluc(ns):tPT2A:tdTomato</t>
  </si>
  <si>
    <t>pRP[En]-AgeI/NdeI/{21:38404413_38404713:RISK}/NheI/EcoRI/miniCMV&gt;Nluc(ns):tPT2A:tdTomato</t>
  </si>
  <si>
    <t>pRP[En]-AgeI/NdeI/{21:38435425_38435725:REF}/NheI/EcoRI/miniCMV&gt;Nluc(ns):tPT2A:tdTomato</t>
  </si>
  <si>
    <t>pRP[En]-AgeI/NdeI/{21:38435425_38435725:RISK}/NheI/EcoRI/miniCMV&gt;Nluc(ns):tPT2A:tdTomato</t>
  </si>
  <si>
    <t>pRP[En]-AgeI/NdeI/{21:38472715_38473015:REF}/NheI/EcoRI/miniCMV&gt;Nluc(ns):tPT2A:tdTomato</t>
  </si>
  <si>
    <t>pRP[En]-AgeI/NdeI/{21:38472715_38473015:RISK}/NheI/EcoRI/miniCMV&gt;Nluc(ns):tPT2A:tdTomato</t>
  </si>
  <si>
    <t>pRP[En]-AgeI/NdeI/{21:38473867_38474369:REF}/NheI/EcoRI/miniCMV&gt;Nluc(ns):tPT2A:tdTomato</t>
  </si>
  <si>
    <t>pRP[En]-AgeI/NdeI/{21:38473867_38474369:RISK}/NheI/EcoRI/miniCMV&gt;Nluc(ns):tPT2A:tdTomato</t>
  </si>
  <si>
    <t>pRP[En]-AgeI/NdeI/{21:38477480_38477780:REF}/NheI/EcoRI/miniCMV&gt;Nluc(ns):tPT2A:tdTomato</t>
  </si>
  <si>
    <t>pRP[En]-AgeI/NdeI/{21:38477480_38477780:RISK}/NheI/EcoRI/miniCMV&gt;Nluc(ns):tPT2A:tdTomato</t>
  </si>
  <si>
    <t>pRP[En]-AgeI/NdeI/{21:38478636_38478936:REF}/NheI/EcoRI/miniCMV&gt;Nluc(ns):tPT2A:tdTomato</t>
  </si>
  <si>
    <t>pRP[En]-AgeI/NdeI/{21:38478636_38478936:RISK}/NheI/EcoRI/miniCMV&gt;Nluc(ns):tPT2A:tdTomato</t>
  </si>
  <si>
    <t>pRP[En]-AgeI/NdeI/{1:17009674_17009974:REF}/NheI/EcoRI/miniCMV&gt;Nluc(ns):tPT2A:tdTomato</t>
  </si>
  <si>
    <t>pRP[En]-AgeI/NdeI/{1:17009674_17009974:RISK}/NheI/EcoRI/miniCMV&gt;Nluc(ns):tPT2A:tdTomato</t>
  </si>
  <si>
    <t>vector_description</t>
  </si>
  <si>
    <t>P193</t>
  </si>
  <si>
    <t xml:space="preserve">pRP[Pro]-EF1A&gt;Luc2(ns):{tPT2A}:MaxGFP  </t>
  </si>
  <si>
    <t>https://en.vectorbuilder.com/vector/VB260127-1726svt.html</t>
  </si>
  <si>
    <t>not applicable - Transfection Control Vector - sequence in link</t>
  </si>
  <si>
    <t>enhancer_sequence</t>
  </si>
  <si>
    <t>P58</t>
  </si>
  <si>
    <t>https://en.vectorbuilder.com/vector/VB251006-1157atv.html</t>
  </si>
  <si>
    <t>not applicable - Empty Nanoluciferase Vector - sequence in link</t>
  </si>
  <si>
    <t>pRP[En]-AgeI/NdeI/Empty/NheI/EcoRI/miniCMV &gt;Nluc(ns):tPT2A:tdTomato</t>
  </si>
  <si>
    <t>P59</t>
  </si>
  <si>
    <t>pRP[En]-AgeI/NdeI/{IGH_chr14:105861727-105862370_644bp}/NheI/EcoRI/miniCMV&gt;Nluc(ns):tPT2A:tdTomato</t>
  </si>
  <si>
    <t>https://en.vectorbuilder.com/vector/VB251006-1164ykm.html</t>
  </si>
  <si>
    <t>IGH enhancer based on Huang et al 2017 - sequence in link</t>
  </si>
  <si>
    <t>Transfection control vector</t>
  </si>
  <si>
    <t xml:space="preserve">Positive control vector </t>
  </si>
  <si>
    <t xml:space="preserve">Empty control 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</si>
</sst>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9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19" fillId="0" borderId="0" xfId="42" applyNumberFormat="1" applyAlignment="1">
      <alignment horizontal="left"/>
    </xf>
    <xf numFmtId="2" fontId="19" fillId="0" borderId="0" xfId="42" applyNumberForma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7" fillId="0" borderId="0" xfId="7" applyFill="1" applyBorder="1" applyAlignment="1">
      <alignment horizontal="left"/>
    </xf>
    <xf numFmtId="0" fontId="20" fillId="0" borderId="0" xfId="0" applyFont="1" applyAlignment="1">
      <alignment horizontal="left"/>
    </xf>
    <xf numFmtId="166" fontId="20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25" fillId="0" borderId="0" xfId="44" applyFont="1" applyFill="1" applyBorder="1"/>
    <xf numFmtId="0" fontId="0" fillId="0" borderId="10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/>
    </xf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3" xr:uid="{73F125F4-131C-42D6-BAD2-F0826F33D724}"/>
    <cellStyle name="Normal 10 2" xfId="59" xr:uid="{874EF8F5-6901-45C0-B0B3-AB54F9ED02AE}"/>
    <cellStyle name="Normal 11" xfId="54" xr:uid="{83B1C491-DDE5-453A-AE7D-30B89FB46AB3}"/>
    <cellStyle name="Normal 12" xfId="60" xr:uid="{35EA38BB-4035-4B9A-9C3D-8DF5E4200148}"/>
    <cellStyle name="Normal 13" xfId="42" xr:uid="{0633F576-9366-48F0-9CB3-93880CA77541}"/>
    <cellStyle name="Normal 2" xfId="46" xr:uid="{29A60CCA-5B93-4AB0-8DF5-570B657C32B5}"/>
    <cellStyle name="Normal 3" xfId="45" xr:uid="{B05CD176-935F-4C6A-909A-A2A7A0C20AC9}"/>
    <cellStyle name="Normal 4" xfId="47" xr:uid="{FC13DCAD-3470-4281-B1A0-976B160158BC}"/>
    <cellStyle name="Normal 5" xfId="48" xr:uid="{4DEEC2D8-591F-4EA8-A59D-DBEDB9879A50}"/>
    <cellStyle name="Normal 5 2" xfId="55" xr:uid="{E457002F-84DC-4866-822C-47137DC6CA44}"/>
    <cellStyle name="Normal 6" xfId="49" xr:uid="{95E042D6-9214-4A14-ABA6-94AEBED0A7C2}"/>
    <cellStyle name="Normal 6 2" xfId="56" xr:uid="{68ADA436-FD45-49C9-B49B-7B4C7F595686}"/>
    <cellStyle name="Normal 7" xfId="50" xr:uid="{C43A17B5-389D-4FD6-8993-F94DA98679C8}"/>
    <cellStyle name="Normal 7 2" xfId="57" xr:uid="{F979AD2B-FD5A-4530-87CA-349C019F72B1}"/>
    <cellStyle name="Normal 8" xfId="51" xr:uid="{0D6DBE81-5142-4688-9DC3-FA0A749EAA3A}"/>
    <cellStyle name="Normal 8 2" xfId="58" xr:uid="{14B64E00-A5CA-4B13-BB79-CB4841F51A3F}"/>
    <cellStyle name="Normal 9" xfId="52" xr:uid="{520D78F3-55B9-4154-A174-ACF3C28A97BC}"/>
    <cellStyle name="Note" xfId="15" builtinId="10" customBuiltin="1"/>
    <cellStyle name="Output" xfId="10" builtinId="21" customBuiltin="1"/>
    <cellStyle name="Porcentaje 2" xfId="43" xr:uid="{432AA183-291A-4F42-A2A8-353BA40595E4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5991-1361-48F4-9F6E-E6F6D2F99FBC}">
  <sheetPr>
    <tabColor theme="4"/>
  </sheetPr>
  <dimension ref="A1:F136"/>
  <sheetViews>
    <sheetView tabSelected="1" topLeftCell="A94" zoomScale="55" zoomScaleNormal="55" workbookViewId="0">
      <selection activeCell="F137" sqref="F137"/>
    </sheetView>
  </sheetViews>
  <sheetFormatPr defaultColWidth="9.109375" defaultRowHeight="14.4" x14ac:dyDescent="0.3"/>
  <cols>
    <col min="1" max="1" width="5.5546875" bestFit="1" customWidth="1"/>
    <col min="2" max="2" width="33.88671875" bestFit="1" customWidth="1"/>
    <col min="3" max="3" width="15.6640625" bestFit="1" customWidth="1"/>
    <col min="4" max="4" width="104.33203125" bestFit="1" customWidth="1"/>
    <col min="5" max="5" width="61.109375" customWidth="1"/>
    <col min="6" max="6" width="255.6640625" bestFit="1" customWidth="1"/>
  </cols>
  <sheetData>
    <row r="1" spans="1:6" x14ac:dyDescent="0.3">
      <c r="A1" s="1" t="s">
        <v>0</v>
      </c>
      <c r="B1" s="1" t="s">
        <v>1</v>
      </c>
      <c r="C1" s="1" t="s">
        <v>756</v>
      </c>
      <c r="D1" s="1" t="s">
        <v>887</v>
      </c>
      <c r="E1" t="s">
        <v>755</v>
      </c>
      <c r="F1" t="s">
        <v>892</v>
      </c>
    </row>
    <row r="2" spans="1:6" x14ac:dyDescent="0.3">
      <c r="A2" s="1">
        <v>1</v>
      </c>
      <c r="B2" s="1" t="s">
        <v>12</v>
      </c>
      <c r="C2" s="1" t="s">
        <v>431</v>
      </c>
      <c r="D2" s="1" t="s">
        <v>885</v>
      </c>
      <c r="E2" t="s">
        <v>625</v>
      </c>
      <c r="F2" t="s">
        <v>17</v>
      </c>
    </row>
    <row r="3" spans="1:6" x14ac:dyDescent="0.3">
      <c r="A3" s="1">
        <v>2</v>
      </c>
      <c r="B3" s="1" t="s">
        <v>20</v>
      </c>
      <c r="C3" s="1" t="s">
        <v>432</v>
      </c>
      <c r="D3" s="1" t="s">
        <v>886</v>
      </c>
      <c r="E3" s="12" t="s">
        <v>626</v>
      </c>
      <c r="F3" t="s">
        <v>21</v>
      </c>
    </row>
    <row r="4" spans="1:6" x14ac:dyDescent="0.3">
      <c r="A4" s="1">
        <v>3</v>
      </c>
      <c r="B4" s="1" t="s">
        <v>22</v>
      </c>
      <c r="C4" s="1" t="s">
        <v>433</v>
      </c>
      <c r="D4" s="1" t="s">
        <v>757</v>
      </c>
      <c r="E4" t="s">
        <v>627</v>
      </c>
      <c r="F4" t="s">
        <v>26</v>
      </c>
    </row>
    <row r="5" spans="1:6" x14ac:dyDescent="0.3">
      <c r="A5" s="1">
        <v>4</v>
      </c>
      <c r="B5" s="1" t="s">
        <v>29</v>
      </c>
      <c r="C5" s="1" t="s">
        <v>434</v>
      </c>
      <c r="D5" s="1" t="s">
        <v>758</v>
      </c>
      <c r="E5" t="s">
        <v>628</v>
      </c>
      <c r="F5" t="s">
        <v>30</v>
      </c>
    </row>
    <row r="6" spans="1:6" x14ac:dyDescent="0.3">
      <c r="A6" s="1">
        <v>5</v>
      </c>
      <c r="B6" s="1" t="s">
        <v>31</v>
      </c>
      <c r="C6" s="1" t="s">
        <v>435</v>
      </c>
      <c r="D6" s="1" t="s">
        <v>759</v>
      </c>
      <c r="E6" t="s">
        <v>629</v>
      </c>
      <c r="F6" t="s">
        <v>37</v>
      </c>
    </row>
    <row r="7" spans="1:6" x14ac:dyDescent="0.3">
      <c r="A7" s="1">
        <v>6</v>
      </c>
      <c r="B7" s="1" t="s">
        <v>40</v>
      </c>
      <c r="C7" s="1" t="s">
        <v>436</v>
      </c>
      <c r="D7" s="1" t="s">
        <v>760</v>
      </c>
      <c r="E7" t="s">
        <v>630</v>
      </c>
      <c r="F7" t="s">
        <v>41</v>
      </c>
    </row>
    <row r="8" spans="1:6" x14ac:dyDescent="0.3">
      <c r="A8" s="1">
        <v>7</v>
      </c>
      <c r="B8" s="1" t="s">
        <v>42</v>
      </c>
      <c r="C8" s="1" t="s">
        <v>437</v>
      </c>
      <c r="D8" s="1" t="s">
        <v>761</v>
      </c>
      <c r="E8" t="s">
        <v>631</v>
      </c>
      <c r="F8" t="s">
        <v>45</v>
      </c>
    </row>
    <row r="9" spans="1:6" x14ac:dyDescent="0.3">
      <c r="A9" s="1">
        <v>8</v>
      </c>
      <c r="B9" s="1" t="s">
        <v>48</v>
      </c>
      <c r="C9" s="1" t="s">
        <v>438</v>
      </c>
      <c r="D9" s="1" t="s">
        <v>762</v>
      </c>
      <c r="E9" t="s">
        <v>632</v>
      </c>
      <c r="F9" t="s">
        <v>49</v>
      </c>
    </row>
    <row r="10" spans="1:6" x14ac:dyDescent="0.3">
      <c r="A10" s="1">
        <v>9</v>
      </c>
      <c r="B10" s="1" t="s">
        <v>50</v>
      </c>
      <c r="C10" s="1" t="s">
        <v>439</v>
      </c>
      <c r="D10" s="1" t="s">
        <v>763</v>
      </c>
      <c r="E10" t="s">
        <v>633</v>
      </c>
      <c r="F10" t="s">
        <v>52</v>
      </c>
    </row>
    <row r="11" spans="1:6" x14ac:dyDescent="0.3">
      <c r="A11" s="1">
        <v>10</v>
      </c>
      <c r="B11" s="1" t="s">
        <v>55</v>
      </c>
      <c r="C11" s="1" t="s">
        <v>440</v>
      </c>
      <c r="D11" s="1" t="s">
        <v>764</v>
      </c>
      <c r="E11" t="s">
        <v>634</v>
      </c>
      <c r="F11" t="s">
        <v>56</v>
      </c>
    </row>
    <row r="12" spans="1:6" x14ac:dyDescent="0.3">
      <c r="A12" s="1">
        <v>11</v>
      </c>
      <c r="B12" s="1" t="s">
        <v>57</v>
      </c>
      <c r="C12" s="1" t="s">
        <v>441</v>
      </c>
      <c r="D12" s="1" t="s">
        <v>765</v>
      </c>
      <c r="E12" t="s">
        <v>635</v>
      </c>
      <c r="F12" t="s">
        <v>59</v>
      </c>
    </row>
    <row r="13" spans="1:6" x14ac:dyDescent="0.3">
      <c r="A13" s="1">
        <v>12</v>
      </c>
      <c r="B13" s="1" t="s">
        <v>61</v>
      </c>
      <c r="C13" s="1" t="s">
        <v>442</v>
      </c>
      <c r="D13" s="1" t="s">
        <v>766</v>
      </c>
      <c r="E13" t="s">
        <v>636</v>
      </c>
      <c r="F13" t="s">
        <v>62</v>
      </c>
    </row>
    <row r="14" spans="1:6" x14ac:dyDescent="0.3">
      <c r="A14" s="1">
        <v>13</v>
      </c>
      <c r="B14" s="1" t="s">
        <v>63</v>
      </c>
      <c r="C14" s="1" t="s">
        <v>443</v>
      </c>
      <c r="D14" s="1" t="s">
        <v>767</v>
      </c>
      <c r="E14" t="s">
        <v>637</v>
      </c>
      <c r="F14" t="s">
        <v>65</v>
      </c>
    </row>
    <row r="15" spans="1:6" x14ac:dyDescent="0.3">
      <c r="A15" s="1">
        <v>14</v>
      </c>
      <c r="B15" s="1" t="s">
        <v>68</v>
      </c>
      <c r="C15" s="1" t="s">
        <v>444</v>
      </c>
      <c r="D15" s="1" t="s">
        <v>768</v>
      </c>
      <c r="E15" t="s">
        <v>638</v>
      </c>
      <c r="F15" t="s">
        <v>69</v>
      </c>
    </row>
    <row r="16" spans="1:6" x14ac:dyDescent="0.3">
      <c r="A16" s="1">
        <v>15</v>
      </c>
      <c r="B16" s="1" t="s">
        <v>70</v>
      </c>
      <c r="C16" s="1" t="s">
        <v>445</v>
      </c>
      <c r="D16" s="1" t="s">
        <v>769</v>
      </c>
      <c r="E16" t="s">
        <v>639</v>
      </c>
      <c r="F16" t="s">
        <v>73</v>
      </c>
    </row>
    <row r="17" spans="1:6" x14ac:dyDescent="0.3">
      <c r="A17" s="1">
        <v>16</v>
      </c>
      <c r="B17" s="1" t="s">
        <v>76</v>
      </c>
      <c r="C17" s="1" t="s">
        <v>446</v>
      </c>
      <c r="D17" s="1" t="s">
        <v>770</v>
      </c>
      <c r="E17" t="s">
        <v>640</v>
      </c>
      <c r="F17" t="s">
        <v>77</v>
      </c>
    </row>
    <row r="18" spans="1:6" x14ac:dyDescent="0.3">
      <c r="A18" s="1">
        <v>17</v>
      </c>
      <c r="B18" s="1" t="s">
        <v>78</v>
      </c>
      <c r="C18" s="1" t="s">
        <v>447</v>
      </c>
      <c r="D18" s="1" t="s">
        <v>771</v>
      </c>
      <c r="E18" t="s">
        <v>641</v>
      </c>
      <c r="F18" t="s">
        <v>80</v>
      </c>
    </row>
    <row r="19" spans="1:6" x14ac:dyDescent="0.3">
      <c r="A19" s="1">
        <v>18</v>
      </c>
      <c r="B19" s="1" t="s">
        <v>82</v>
      </c>
      <c r="C19" s="1" t="s">
        <v>448</v>
      </c>
      <c r="D19" s="1" t="s">
        <v>772</v>
      </c>
      <c r="E19" t="s">
        <v>642</v>
      </c>
      <c r="F19" t="s">
        <v>83</v>
      </c>
    </row>
    <row r="20" spans="1:6" x14ac:dyDescent="0.3">
      <c r="A20" s="1">
        <v>19</v>
      </c>
      <c r="B20" s="1" t="s">
        <v>84</v>
      </c>
      <c r="C20" s="1" t="s">
        <v>449</v>
      </c>
      <c r="D20" s="1" t="s">
        <v>773</v>
      </c>
      <c r="E20" t="s">
        <v>643</v>
      </c>
      <c r="F20" t="s">
        <v>86</v>
      </c>
    </row>
    <row r="21" spans="1:6" x14ac:dyDescent="0.3">
      <c r="A21" s="1">
        <v>20</v>
      </c>
      <c r="B21" s="1" t="s">
        <v>87</v>
      </c>
      <c r="C21" s="1" t="s">
        <v>450</v>
      </c>
      <c r="D21" s="1" t="s">
        <v>774</v>
      </c>
      <c r="E21" t="s">
        <v>644</v>
      </c>
      <c r="F21" t="s">
        <v>88</v>
      </c>
    </row>
    <row r="22" spans="1:6" x14ac:dyDescent="0.3">
      <c r="A22" s="1">
        <v>21</v>
      </c>
      <c r="B22" s="1" t="s">
        <v>89</v>
      </c>
      <c r="C22" s="1" t="s">
        <v>451</v>
      </c>
      <c r="D22" s="1" t="s">
        <v>775</v>
      </c>
      <c r="E22" t="s">
        <v>645</v>
      </c>
      <c r="F22" t="s">
        <v>91</v>
      </c>
    </row>
    <row r="23" spans="1:6" x14ac:dyDescent="0.3">
      <c r="A23" s="1">
        <v>22</v>
      </c>
      <c r="B23" s="1" t="s">
        <v>93</v>
      </c>
      <c r="C23" s="1" t="s">
        <v>452</v>
      </c>
      <c r="D23" s="1" t="s">
        <v>776</v>
      </c>
      <c r="E23" t="s">
        <v>646</v>
      </c>
      <c r="F23" t="s">
        <v>94</v>
      </c>
    </row>
    <row r="24" spans="1:6" x14ac:dyDescent="0.3">
      <c r="A24" s="1">
        <v>23</v>
      </c>
      <c r="B24" s="1" t="s">
        <v>95</v>
      </c>
      <c r="C24" s="1" t="s">
        <v>453</v>
      </c>
      <c r="D24" s="1" t="s">
        <v>777</v>
      </c>
      <c r="E24" t="s">
        <v>647</v>
      </c>
      <c r="F24" t="s">
        <v>97</v>
      </c>
    </row>
    <row r="25" spans="1:6" x14ac:dyDescent="0.3">
      <c r="A25" s="1">
        <v>24</v>
      </c>
      <c r="B25" s="1" t="s">
        <v>98</v>
      </c>
      <c r="C25" s="1" t="s">
        <v>454</v>
      </c>
      <c r="D25" s="1" t="s">
        <v>778</v>
      </c>
      <c r="E25" t="s">
        <v>648</v>
      </c>
      <c r="F25" t="s">
        <v>99</v>
      </c>
    </row>
    <row r="26" spans="1:6" x14ac:dyDescent="0.3">
      <c r="A26" s="1">
        <v>25</v>
      </c>
      <c r="B26" s="1" t="s">
        <v>100</v>
      </c>
      <c r="C26" s="1" t="s">
        <v>455</v>
      </c>
      <c r="D26" s="1" t="s">
        <v>779</v>
      </c>
      <c r="E26" t="s">
        <v>649</v>
      </c>
      <c r="F26" t="s">
        <v>102</v>
      </c>
    </row>
    <row r="27" spans="1:6" x14ac:dyDescent="0.3">
      <c r="A27" s="1">
        <v>26</v>
      </c>
      <c r="B27" s="1" t="s">
        <v>104</v>
      </c>
      <c r="C27" s="1" t="s">
        <v>456</v>
      </c>
      <c r="D27" s="1" t="s">
        <v>780</v>
      </c>
      <c r="E27" t="s">
        <v>650</v>
      </c>
      <c r="F27" t="s">
        <v>105</v>
      </c>
    </row>
    <row r="28" spans="1:6" x14ac:dyDescent="0.3">
      <c r="A28" s="1">
        <v>27</v>
      </c>
      <c r="B28" s="1" t="s">
        <v>106</v>
      </c>
      <c r="C28" s="1" t="s">
        <v>457</v>
      </c>
      <c r="D28" s="1" t="s">
        <v>781</v>
      </c>
      <c r="E28" t="s">
        <v>651</v>
      </c>
      <c r="F28" t="s">
        <v>108</v>
      </c>
    </row>
    <row r="29" spans="1:6" x14ac:dyDescent="0.3">
      <c r="A29" s="1">
        <v>28</v>
      </c>
      <c r="B29" s="1" t="s">
        <v>109</v>
      </c>
      <c r="C29" s="1" t="s">
        <v>458</v>
      </c>
      <c r="D29" s="1" t="s">
        <v>782</v>
      </c>
      <c r="E29" t="s">
        <v>652</v>
      </c>
      <c r="F29" t="s">
        <v>110</v>
      </c>
    </row>
    <row r="30" spans="1:6" x14ac:dyDescent="0.3">
      <c r="A30" s="1">
        <v>29</v>
      </c>
      <c r="B30" s="1" t="s">
        <v>111</v>
      </c>
      <c r="C30" s="1" t="s">
        <v>459</v>
      </c>
      <c r="D30" s="1" t="s">
        <v>783</v>
      </c>
      <c r="E30" t="s">
        <v>653</v>
      </c>
      <c r="F30" t="s">
        <v>116</v>
      </c>
    </row>
    <row r="31" spans="1:6" x14ac:dyDescent="0.3">
      <c r="A31" s="1">
        <v>30</v>
      </c>
      <c r="B31" s="1" t="s">
        <v>119</v>
      </c>
      <c r="C31" s="1" t="s">
        <v>460</v>
      </c>
      <c r="D31" s="1" t="s">
        <v>784</v>
      </c>
      <c r="E31" t="s">
        <v>654</v>
      </c>
      <c r="F31" t="s">
        <v>120</v>
      </c>
    </row>
    <row r="32" spans="1:6" x14ac:dyDescent="0.3">
      <c r="A32" s="1">
        <v>31</v>
      </c>
      <c r="B32" s="1" t="s">
        <v>121</v>
      </c>
      <c r="C32" s="1" t="s">
        <v>461</v>
      </c>
      <c r="D32" s="1" t="s">
        <v>785</v>
      </c>
      <c r="E32" t="s">
        <v>655</v>
      </c>
      <c r="F32" t="s">
        <v>123</v>
      </c>
    </row>
    <row r="33" spans="1:6" x14ac:dyDescent="0.3">
      <c r="A33" s="1">
        <v>32</v>
      </c>
      <c r="B33" s="1" t="s">
        <v>124</v>
      </c>
      <c r="C33" s="1" t="s">
        <v>462</v>
      </c>
      <c r="D33" s="1" t="s">
        <v>786</v>
      </c>
      <c r="E33" t="s">
        <v>656</v>
      </c>
      <c r="F33" t="s">
        <v>125</v>
      </c>
    </row>
    <row r="34" spans="1:6" x14ac:dyDescent="0.3">
      <c r="A34" s="1">
        <v>33</v>
      </c>
      <c r="B34" s="1" t="s">
        <v>126</v>
      </c>
      <c r="C34" s="1" t="s">
        <v>463</v>
      </c>
      <c r="D34" s="1" t="s">
        <v>787</v>
      </c>
      <c r="E34" t="s">
        <v>657</v>
      </c>
      <c r="F34" t="s">
        <v>128</v>
      </c>
    </row>
    <row r="35" spans="1:6" x14ac:dyDescent="0.3">
      <c r="A35" s="1">
        <v>34</v>
      </c>
      <c r="B35" s="1" t="s">
        <v>130</v>
      </c>
      <c r="C35" s="1" t="s">
        <v>464</v>
      </c>
      <c r="D35" s="1" t="s">
        <v>788</v>
      </c>
      <c r="E35" t="s">
        <v>658</v>
      </c>
      <c r="F35" t="s">
        <v>131</v>
      </c>
    </row>
    <row r="36" spans="1:6" x14ac:dyDescent="0.3">
      <c r="A36" s="1">
        <v>35</v>
      </c>
      <c r="B36" s="1" t="s">
        <v>132</v>
      </c>
      <c r="C36" s="1" t="s">
        <v>465</v>
      </c>
      <c r="D36" s="1" t="s">
        <v>789</v>
      </c>
      <c r="E36" t="s">
        <v>659</v>
      </c>
      <c r="F36" t="s">
        <v>134</v>
      </c>
    </row>
    <row r="37" spans="1:6" x14ac:dyDescent="0.3">
      <c r="A37" s="1">
        <v>36</v>
      </c>
      <c r="B37" s="1" t="s">
        <v>135</v>
      </c>
      <c r="C37" s="1" t="s">
        <v>466</v>
      </c>
      <c r="D37" s="1" t="s">
        <v>790</v>
      </c>
      <c r="E37" t="s">
        <v>660</v>
      </c>
      <c r="F37" t="s">
        <v>136</v>
      </c>
    </row>
    <row r="38" spans="1:6" x14ac:dyDescent="0.3">
      <c r="A38" s="1">
        <v>37</v>
      </c>
      <c r="B38" s="1" t="s">
        <v>137</v>
      </c>
      <c r="C38" s="1" t="s">
        <v>467</v>
      </c>
      <c r="D38" s="1" t="s">
        <v>791</v>
      </c>
      <c r="E38" t="s">
        <v>661</v>
      </c>
      <c r="F38" t="s">
        <v>139</v>
      </c>
    </row>
    <row r="39" spans="1:6" x14ac:dyDescent="0.3">
      <c r="A39" s="1">
        <v>38</v>
      </c>
      <c r="B39" s="1" t="s">
        <v>141</v>
      </c>
      <c r="C39" s="1" t="s">
        <v>468</v>
      </c>
      <c r="D39" s="1" t="s">
        <v>792</v>
      </c>
      <c r="E39" t="s">
        <v>662</v>
      </c>
      <c r="F39" t="s">
        <v>142</v>
      </c>
    </row>
    <row r="40" spans="1:6" x14ac:dyDescent="0.3">
      <c r="A40" s="1">
        <v>39</v>
      </c>
      <c r="B40" s="1" t="s">
        <v>143</v>
      </c>
      <c r="C40" s="1" t="s">
        <v>469</v>
      </c>
      <c r="D40" s="1" t="s">
        <v>793</v>
      </c>
      <c r="E40" t="s">
        <v>663</v>
      </c>
      <c r="F40" t="s">
        <v>145</v>
      </c>
    </row>
    <row r="41" spans="1:6" x14ac:dyDescent="0.3">
      <c r="A41" s="1">
        <v>40</v>
      </c>
      <c r="B41" s="1" t="s">
        <v>148</v>
      </c>
      <c r="C41" s="1" t="s">
        <v>470</v>
      </c>
      <c r="D41" s="1" t="s">
        <v>794</v>
      </c>
      <c r="E41" t="s">
        <v>664</v>
      </c>
      <c r="F41" t="s">
        <v>149</v>
      </c>
    </row>
    <row r="42" spans="1:6" x14ac:dyDescent="0.3">
      <c r="A42" s="1">
        <v>41</v>
      </c>
      <c r="B42" s="1" t="s">
        <v>150</v>
      </c>
      <c r="C42" s="1" t="s">
        <v>471</v>
      </c>
      <c r="D42" s="1" t="s">
        <v>795</v>
      </c>
      <c r="E42" t="s">
        <v>665</v>
      </c>
      <c r="F42" t="s">
        <v>152</v>
      </c>
    </row>
    <row r="43" spans="1:6" x14ac:dyDescent="0.3">
      <c r="A43" s="1">
        <v>42</v>
      </c>
      <c r="B43" s="1" t="s">
        <v>154</v>
      </c>
      <c r="C43" s="1" t="s">
        <v>472</v>
      </c>
      <c r="D43" s="1" t="s">
        <v>796</v>
      </c>
      <c r="E43" t="s">
        <v>666</v>
      </c>
      <c r="F43" t="s">
        <v>155</v>
      </c>
    </row>
    <row r="44" spans="1:6" x14ac:dyDescent="0.3">
      <c r="A44" s="1">
        <v>43</v>
      </c>
      <c r="B44" s="1" t="s">
        <v>156</v>
      </c>
      <c r="C44" s="1" t="s">
        <v>473</v>
      </c>
      <c r="D44" s="1" t="s">
        <v>797</v>
      </c>
      <c r="E44" t="s">
        <v>667</v>
      </c>
      <c r="F44" t="s">
        <v>161</v>
      </c>
    </row>
    <row r="45" spans="1:6" x14ac:dyDescent="0.3">
      <c r="A45" s="1">
        <v>44</v>
      </c>
      <c r="B45" s="1" t="s">
        <v>164</v>
      </c>
      <c r="C45" s="1" t="s">
        <v>474</v>
      </c>
      <c r="D45" s="1" t="s">
        <v>798</v>
      </c>
      <c r="E45" t="s">
        <v>668</v>
      </c>
      <c r="F45" t="s">
        <v>165</v>
      </c>
    </row>
    <row r="46" spans="1:6" x14ac:dyDescent="0.3">
      <c r="A46" s="1">
        <v>45</v>
      </c>
      <c r="B46" s="1" t="s">
        <v>166</v>
      </c>
      <c r="C46" s="1" t="s">
        <v>475</v>
      </c>
      <c r="D46" s="1" t="s">
        <v>799</v>
      </c>
      <c r="E46" t="s">
        <v>669</v>
      </c>
      <c r="F46" t="s">
        <v>171</v>
      </c>
    </row>
    <row r="47" spans="1:6" x14ac:dyDescent="0.3">
      <c r="A47" s="1">
        <v>46</v>
      </c>
      <c r="B47" s="1" t="s">
        <v>174</v>
      </c>
      <c r="C47" s="1" t="s">
        <v>476</v>
      </c>
      <c r="D47" s="1" t="s">
        <v>800</v>
      </c>
      <c r="E47" t="s">
        <v>670</v>
      </c>
      <c r="F47" t="s">
        <v>175</v>
      </c>
    </row>
    <row r="48" spans="1:6" x14ac:dyDescent="0.3">
      <c r="A48" s="1">
        <v>47</v>
      </c>
      <c r="B48" s="1" t="s">
        <v>176</v>
      </c>
      <c r="C48" s="1" t="s">
        <v>477</v>
      </c>
      <c r="D48" s="1" t="s">
        <v>801</v>
      </c>
      <c r="E48" t="s">
        <v>671</v>
      </c>
      <c r="F48" t="s">
        <v>178</v>
      </c>
    </row>
    <row r="49" spans="1:6" x14ac:dyDescent="0.3">
      <c r="A49" s="1">
        <v>48</v>
      </c>
      <c r="B49" s="1" t="s">
        <v>180</v>
      </c>
      <c r="C49" s="1" t="s">
        <v>478</v>
      </c>
      <c r="D49" s="1" t="s">
        <v>802</v>
      </c>
      <c r="E49" t="s">
        <v>672</v>
      </c>
      <c r="F49" t="s">
        <v>181</v>
      </c>
    </row>
    <row r="50" spans="1:6" x14ac:dyDescent="0.3">
      <c r="A50" s="1">
        <v>49</v>
      </c>
      <c r="B50" s="1" t="s">
        <v>182</v>
      </c>
      <c r="C50" s="1" t="s">
        <v>479</v>
      </c>
      <c r="D50" s="1" t="s">
        <v>803</v>
      </c>
      <c r="E50" t="s">
        <v>673</v>
      </c>
      <c r="F50" t="s">
        <v>186</v>
      </c>
    </row>
    <row r="51" spans="1:6" x14ac:dyDescent="0.3">
      <c r="A51" s="1">
        <v>50</v>
      </c>
      <c r="B51" s="1" t="s">
        <v>189</v>
      </c>
      <c r="C51" s="1" t="s">
        <v>480</v>
      </c>
      <c r="D51" s="1" t="s">
        <v>804</v>
      </c>
      <c r="E51" t="s">
        <v>674</v>
      </c>
      <c r="F51" t="s">
        <v>190</v>
      </c>
    </row>
    <row r="52" spans="1:6" x14ac:dyDescent="0.3">
      <c r="A52" s="1">
        <v>51</v>
      </c>
      <c r="B52" s="1" t="s">
        <v>191</v>
      </c>
      <c r="C52" s="1" t="s">
        <v>481</v>
      </c>
      <c r="D52" s="1" t="s">
        <v>805</v>
      </c>
      <c r="E52" t="s">
        <v>675</v>
      </c>
      <c r="F52" t="s">
        <v>193</v>
      </c>
    </row>
    <row r="53" spans="1:6" x14ac:dyDescent="0.3">
      <c r="A53" s="1">
        <v>52</v>
      </c>
      <c r="B53" s="1" t="s">
        <v>195</v>
      </c>
      <c r="C53" s="1" t="s">
        <v>482</v>
      </c>
      <c r="D53" s="1" t="s">
        <v>806</v>
      </c>
      <c r="E53" t="s">
        <v>676</v>
      </c>
      <c r="F53" t="s">
        <v>196</v>
      </c>
    </row>
    <row r="54" spans="1:6" x14ac:dyDescent="0.3">
      <c r="A54" s="1">
        <v>53</v>
      </c>
      <c r="B54" s="1" t="s">
        <v>197</v>
      </c>
      <c r="C54" s="1" t="s">
        <v>483</v>
      </c>
      <c r="D54" s="1" t="s">
        <v>807</v>
      </c>
      <c r="E54" t="s">
        <v>677</v>
      </c>
      <c r="F54" t="s">
        <v>199</v>
      </c>
    </row>
    <row r="55" spans="1:6" x14ac:dyDescent="0.3">
      <c r="A55" s="1">
        <v>54</v>
      </c>
      <c r="B55" s="1" t="s">
        <v>201</v>
      </c>
      <c r="C55" s="1" t="s">
        <v>484</v>
      </c>
      <c r="D55" s="1" t="s">
        <v>808</v>
      </c>
      <c r="E55" t="s">
        <v>678</v>
      </c>
      <c r="F55" t="s">
        <v>202</v>
      </c>
    </row>
    <row r="56" spans="1:6" x14ac:dyDescent="0.3">
      <c r="A56" s="1">
        <v>55</v>
      </c>
      <c r="B56" s="1" t="s">
        <v>203</v>
      </c>
      <c r="C56" s="1" t="s">
        <v>485</v>
      </c>
      <c r="D56" s="1" t="s">
        <v>809</v>
      </c>
      <c r="E56" t="s">
        <v>679</v>
      </c>
      <c r="F56" t="s">
        <v>205</v>
      </c>
    </row>
    <row r="57" spans="1:6" x14ac:dyDescent="0.3">
      <c r="A57" s="1">
        <v>56</v>
      </c>
      <c r="B57" s="1" t="s">
        <v>207</v>
      </c>
      <c r="C57" s="1" t="s">
        <v>486</v>
      </c>
      <c r="D57" s="1" t="s">
        <v>810</v>
      </c>
      <c r="E57" t="s">
        <v>680</v>
      </c>
      <c r="F57" t="s">
        <v>208</v>
      </c>
    </row>
    <row r="58" spans="1:6" x14ac:dyDescent="0.3">
      <c r="A58" s="1">
        <v>57</v>
      </c>
      <c r="B58" s="1" t="s">
        <v>209</v>
      </c>
      <c r="C58" s="1" t="s">
        <v>487</v>
      </c>
      <c r="D58" s="1" t="s">
        <v>811</v>
      </c>
      <c r="E58" t="s">
        <v>681</v>
      </c>
      <c r="F58" t="s">
        <v>211</v>
      </c>
    </row>
    <row r="59" spans="1:6" x14ac:dyDescent="0.3">
      <c r="A59" s="1">
        <v>58</v>
      </c>
      <c r="B59" s="1" t="s">
        <v>212</v>
      </c>
      <c r="C59" s="1" t="s">
        <v>488</v>
      </c>
      <c r="D59" s="1" t="s">
        <v>812</v>
      </c>
      <c r="E59" t="s">
        <v>682</v>
      </c>
      <c r="F59" t="s">
        <v>213</v>
      </c>
    </row>
    <row r="60" spans="1:6" x14ac:dyDescent="0.3">
      <c r="A60" s="1">
        <v>59</v>
      </c>
      <c r="B60" s="1" t="s">
        <v>214</v>
      </c>
      <c r="C60" s="1" t="s">
        <v>489</v>
      </c>
      <c r="D60" s="1" t="s">
        <v>813</v>
      </c>
      <c r="E60" t="s">
        <v>683</v>
      </c>
      <c r="F60" t="s">
        <v>217</v>
      </c>
    </row>
    <row r="61" spans="1:6" x14ac:dyDescent="0.3">
      <c r="A61" s="1">
        <v>60</v>
      </c>
      <c r="B61" s="1" t="s">
        <v>219</v>
      </c>
      <c r="C61" s="1" t="s">
        <v>490</v>
      </c>
      <c r="D61" s="1" t="s">
        <v>814</v>
      </c>
      <c r="E61" t="s">
        <v>684</v>
      </c>
      <c r="F61" t="s">
        <v>220</v>
      </c>
    </row>
    <row r="62" spans="1:6" x14ac:dyDescent="0.3">
      <c r="A62" s="1">
        <v>61</v>
      </c>
      <c r="B62" s="1" t="s">
        <v>221</v>
      </c>
      <c r="C62" s="1" t="s">
        <v>491</v>
      </c>
      <c r="D62" s="1" t="s">
        <v>815</v>
      </c>
      <c r="E62" t="s">
        <v>685</v>
      </c>
      <c r="F62" t="s">
        <v>224</v>
      </c>
    </row>
    <row r="63" spans="1:6" x14ac:dyDescent="0.3">
      <c r="A63" s="1">
        <v>62</v>
      </c>
      <c r="B63" s="1" t="s">
        <v>225</v>
      </c>
      <c r="C63" s="1" t="s">
        <v>492</v>
      </c>
      <c r="D63" s="1" t="s">
        <v>816</v>
      </c>
      <c r="E63" t="s">
        <v>686</v>
      </c>
      <c r="F63" t="s">
        <v>226</v>
      </c>
    </row>
    <row r="64" spans="1:6" x14ac:dyDescent="0.3">
      <c r="A64" s="1">
        <v>63</v>
      </c>
      <c r="B64" s="1" t="s">
        <v>227</v>
      </c>
      <c r="C64" s="1" t="s">
        <v>493</v>
      </c>
      <c r="D64" s="1" t="s">
        <v>817</v>
      </c>
      <c r="E64" t="s">
        <v>687</v>
      </c>
      <c r="F64" t="s">
        <v>229</v>
      </c>
    </row>
    <row r="65" spans="1:6" x14ac:dyDescent="0.3">
      <c r="A65" s="1">
        <v>64</v>
      </c>
      <c r="B65" s="1" t="s">
        <v>230</v>
      </c>
      <c r="C65" s="1" t="s">
        <v>494</v>
      </c>
      <c r="D65" s="1" t="s">
        <v>818</v>
      </c>
      <c r="E65" t="s">
        <v>688</v>
      </c>
      <c r="F65" t="s">
        <v>231</v>
      </c>
    </row>
    <row r="66" spans="1:6" x14ac:dyDescent="0.3">
      <c r="A66" s="1">
        <v>65</v>
      </c>
      <c r="B66" s="1" t="s">
        <v>232</v>
      </c>
      <c r="C66" s="1" t="s">
        <v>495</v>
      </c>
      <c r="D66" s="1" t="s">
        <v>819</v>
      </c>
      <c r="E66" t="s">
        <v>689</v>
      </c>
      <c r="F66" t="s">
        <v>234</v>
      </c>
    </row>
    <row r="67" spans="1:6" x14ac:dyDescent="0.3">
      <c r="A67" s="1">
        <v>66</v>
      </c>
      <c r="B67" s="1" t="s">
        <v>236</v>
      </c>
      <c r="C67" s="1" t="s">
        <v>496</v>
      </c>
      <c r="D67" s="1" t="s">
        <v>820</v>
      </c>
      <c r="E67" t="s">
        <v>690</v>
      </c>
      <c r="F67" t="s">
        <v>237</v>
      </c>
    </row>
    <row r="68" spans="1:6" x14ac:dyDescent="0.3">
      <c r="A68" s="1">
        <v>67</v>
      </c>
      <c r="B68" s="1" t="s">
        <v>238</v>
      </c>
      <c r="C68" s="1" t="s">
        <v>497</v>
      </c>
      <c r="D68" s="1" t="s">
        <v>821</v>
      </c>
      <c r="E68" t="s">
        <v>691</v>
      </c>
      <c r="F68" t="s">
        <v>240</v>
      </c>
    </row>
    <row r="69" spans="1:6" x14ac:dyDescent="0.3">
      <c r="A69" s="1">
        <v>68</v>
      </c>
      <c r="B69" s="1" t="s">
        <v>242</v>
      </c>
      <c r="C69" s="1" t="s">
        <v>498</v>
      </c>
      <c r="D69" s="1" t="s">
        <v>822</v>
      </c>
      <c r="E69" t="s">
        <v>692</v>
      </c>
      <c r="F69" t="s">
        <v>243</v>
      </c>
    </row>
    <row r="70" spans="1:6" x14ac:dyDescent="0.3">
      <c r="A70" s="1">
        <v>69</v>
      </c>
      <c r="B70" s="1" t="s">
        <v>244</v>
      </c>
      <c r="C70" s="1" t="s">
        <v>499</v>
      </c>
      <c r="D70" s="1" t="s">
        <v>823</v>
      </c>
      <c r="E70" t="s">
        <v>693</v>
      </c>
      <c r="F70" t="s">
        <v>246</v>
      </c>
    </row>
    <row r="71" spans="1:6" x14ac:dyDescent="0.3">
      <c r="A71" s="1">
        <v>70</v>
      </c>
      <c r="B71" s="1" t="s">
        <v>248</v>
      </c>
      <c r="C71" s="1" t="s">
        <v>500</v>
      </c>
      <c r="D71" s="1" t="s">
        <v>824</v>
      </c>
      <c r="E71" t="s">
        <v>694</v>
      </c>
      <c r="F71" t="s">
        <v>249</v>
      </c>
    </row>
    <row r="72" spans="1:6" x14ac:dyDescent="0.3">
      <c r="A72" s="1">
        <v>71</v>
      </c>
      <c r="B72" s="1" t="s">
        <v>250</v>
      </c>
      <c r="C72" s="1" t="s">
        <v>501</v>
      </c>
      <c r="D72" s="1" t="s">
        <v>825</v>
      </c>
      <c r="E72" t="s">
        <v>695</v>
      </c>
      <c r="F72" t="s">
        <v>252</v>
      </c>
    </row>
    <row r="73" spans="1:6" x14ac:dyDescent="0.3">
      <c r="A73" s="1">
        <v>72</v>
      </c>
      <c r="B73" s="1" t="s">
        <v>254</v>
      </c>
      <c r="C73" s="1" t="s">
        <v>502</v>
      </c>
      <c r="D73" s="1" t="s">
        <v>826</v>
      </c>
      <c r="E73" t="s">
        <v>696</v>
      </c>
      <c r="F73" t="s">
        <v>255</v>
      </c>
    </row>
    <row r="74" spans="1:6" x14ac:dyDescent="0.3">
      <c r="A74" s="1">
        <v>73</v>
      </c>
      <c r="B74" s="1" t="s">
        <v>256</v>
      </c>
      <c r="C74" s="1" t="s">
        <v>503</v>
      </c>
      <c r="D74" s="1" t="s">
        <v>827</v>
      </c>
      <c r="E74" t="s">
        <v>697</v>
      </c>
      <c r="F74" t="s">
        <v>258</v>
      </c>
    </row>
    <row r="75" spans="1:6" x14ac:dyDescent="0.3">
      <c r="A75" s="1">
        <v>74</v>
      </c>
      <c r="B75" s="1" t="s">
        <v>260</v>
      </c>
      <c r="C75" s="1" t="s">
        <v>504</v>
      </c>
      <c r="D75" s="1" t="s">
        <v>828</v>
      </c>
      <c r="E75" t="s">
        <v>698</v>
      </c>
      <c r="F75" t="s">
        <v>261</v>
      </c>
    </row>
    <row r="76" spans="1:6" x14ac:dyDescent="0.3">
      <c r="A76" s="1">
        <v>75</v>
      </c>
      <c r="B76" s="1" t="s">
        <v>262</v>
      </c>
      <c r="C76" s="1" t="s">
        <v>505</v>
      </c>
      <c r="D76" s="1" t="s">
        <v>829</v>
      </c>
      <c r="E76" t="s">
        <v>699</v>
      </c>
      <c r="F76" t="s">
        <v>264</v>
      </c>
    </row>
    <row r="77" spans="1:6" x14ac:dyDescent="0.3">
      <c r="A77" s="1">
        <v>76</v>
      </c>
      <c r="B77" s="1" t="s">
        <v>265</v>
      </c>
      <c r="C77" s="1" t="s">
        <v>506</v>
      </c>
      <c r="D77" s="1" t="s">
        <v>830</v>
      </c>
      <c r="E77" t="s">
        <v>700</v>
      </c>
      <c r="F77" t="s">
        <v>266</v>
      </c>
    </row>
    <row r="78" spans="1:6" x14ac:dyDescent="0.3">
      <c r="A78" s="1">
        <v>77</v>
      </c>
      <c r="B78" s="1" t="s">
        <v>267</v>
      </c>
      <c r="C78" s="1" t="s">
        <v>507</v>
      </c>
      <c r="D78" s="1" t="s">
        <v>831</v>
      </c>
      <c r="E78" t="s">
        <v>701</v>
      </c>
      <c r="F78" t="s">
        <v>269</v>
      </c>
    </row>
    <row r="79" spans="1:6" x14ac:dyDescent="0.3">
      <c r="A79" s="1">
        <v>78</v>
      </c>
      <c r="B79" s="1" t="s">
        <v>270</v>
      </c>
      <c r="C79" s="1" t="s">
        <v>508</v>
      </c>
      <c r="D79" s="1" t="s">
        <v>832</v>
      </c>
      <c r="E79" t="s">
        <v>702</v>
      </c>
      <c r="F79" t="s">
        <v>271</v>
      </c>
    </row>
    <row r="80" spans="1:6" x14ac:dyDescent="0.3">
      <c r="A80" s="1">
        <v>79</v>
      </c>
      <c r="B80" s="1" t="s">
        <v>272</v>
      </c>
      <c r="C80" s="1" t="s">
        <v>509</v>
      </c>
      <c r="D80" s="1" t="s">
        <v>833</v>
      </c>
      <c r="E80" t="s">
        <v>703</v>
      </c>
      <c r="F80" t="s">
        <v>274</v>
      </c>
    </row>
    <row r="81" spans="1:6" x14ac:dyDescent="0.3">
      <c r="A81" s="1">
        <v>80</v>
      </c>
      <c r="B81" s="1" t="s">
        <v>276</v>
      </c>
      <c r="C81" s="1" t="s">
        <v>510</v>
      </c>
      <c r="D81" s="1" t="s">
        <v>834</v>
      </c>
      <c r="E81" t="s">
        <v>704</v>
      </c>
      <c r="F81" t="s">
        <v>277</v>
      </c>
    </row>
    <row r="82" spans="1:6" x14ac:dyDescent="0.3">
      <c r="A82" s="1">
        <v>81</v>
      </c>
      <c r="B82" s="1" t="s">
        <v>278</v>
      </c>
      <c r="C82" s="1" t="s">
        <v>511</v>
      </c>
      <c r="D82" s="1" t="s">
        <v>835</v>
      </c>
      <c r="E82" t="s">
        <v>705</v>
      </c>
      <c r="F82" t="s">
        <v>280</v>
      </c>
    </row>
    <row r="83" spans="1:6" x14ac:dyDescent="0.3">
      <c r="A83" s="1">
        <v>82</v>
      </c>
      <c r="B83" s="1" t="s">
        <v>282</v>
      </c>
      <c r="C83" s="1" t="s">
        <v>512</v>
      </c>
      <c r="D83" s="1" t="s">
        <v>836</v>
      </c>
      <c r="E83" t="s">
        <v>706</v>
      </c>
      <c r="F83" t="s">
        <v>283</v>
      </c>
    </row>
    <row r="84" spans="1:6" x14ac:dyDescent="0.3">
      <c r="A84" s="1">
        <v>83</v>
      </c>
      <c r="B84" s="1" t="s">
        <v>284</v>
      </c>
      <c r="C84" s="1" t="s">
        <v>513</v>
      </c>
      <c r="D84" s="1" t="s">
        <v>837</v>
      </c>
      <c r="E84" t="s">
        <v>707</v>
      </c>
      <c r="F84" t="s">
        <v>286</v>
      </c>
    </row>
    <row r="85" spans="1:6" x14ac:dyDescent="0.3">
      <c r="A85" s="1">
        <v>84</v>
      </c>
      <c r="B85" s="1" t="s">
        <v>287</v>
      </c>
      <c r="C85" s="1" t="s">
        <v>514</v>
      </c>
      <c r="D85" s="1" t="s">
        <v>838</v>
      </c>
      <c r="E85" t="s">
        <v>708</v>
      </c>
      <c r="F85" t="s">
        <v>288</v>
      </c>
    </row>
    <row r="86" spans="1:6" x14ac:dyDescent="0.3">
      <c r="A86" s="1">
        <v>85</v>
      </c>
      <c r="B86" s="1" t="s">
        <v>289</v>
      </c>
      <c r="C86" s="1" t="s">
        <v>515</v>
      </c>
      <c r="D86" s="1" t="s">
        <v>839</v>
      </c>
      <c r="E86" t="s">
        <v>709</v>
      </c>
      <c r="F86" t="s">
        <v>291</v>
      </c>
    </row>
    <row r="87" spans="1:6" x14ac:dyDescent="0.3">
      <c r="A87" s="1">
        <v>86</v>
      </c>
      <c r="B87" s="1" t="s">
        <v>293</v>
      </c>
      <c r="C87" s="1" t="s">
        <v>516</v>
      </c>
      <c r="D87" s="1" t="s">
        <v>840</v>
      </c>
      <c r="E87" t="s">
        <v>710</v>
      </c>
      <c r="F87" t="s">
        <v>294</v>
      </c>
    </row>
    <row r="88" spans="1:6" x14ac:dyDescent="0.3">
      <c r="A88" s="1">
        <v>87</v>
      </c>
      <c r="B88" s="1" t="s">
        <v>295</v>
      </c>
      <c r="C88" s="1" t="s">
        <v>517</v>
      </c>
      <c r="D88" s="1" t="s">
        <v>841</v>
      </c>
      <c r="E88" t="s">
        <v>711</v>
      </c>
      <c r="F88" t="s">
        <v>298</v>
      </c>
    </row>
    <row r="89" spans="1:6" x14ac:dyDescent="0.3">
      <c r="A89" s="1">
        <v>88</v>
      </c>
      <c r="B89" s="1" t="s">
        <v>299</v>
      </c>
      <c r="C89" s="1" t="s">
        <v>518</v>
      </c>
      <c r="D89" s="1" t="s">
        <v>842</v>
      </c>
      <c r="E89" t="s">
        <v>712</v>
      </c>
      <c r="F89" t="s">
        <v>300</v>
      </c>
    </row>
    <row r="90" spans="1:6" x14ac:dyDescent="0.3">
      <c r="A90" s="1">
        <v>89</v>
      </c>
      <c r="B90" s="1" t="s">
        <v>301</v>
      </c>
      <c r="C90" s="1" t="s">
        <v>519</v>
      </c>
      <c r="D90" s="1" t="s">
        <v>843</v>
      </c>
      <c r="E90" t="s">
        <v>713</v>
      </c>
      <c r="F90" t="s">
        <v>303</v>
      </c>
    </row>
    <row r="91" spans="1:6" x14ac:dyDescent="0.3">
      <c r="A91" s="1">
        <v>90</v>
      </c>
      <c r="B91" s="1" t="s">
        <v>305</v>
      </c>
      <c r="C91" s="1" t="s">
        <v>520</v>
      </c>
      <c r="D91" s="1" t="s">
        <v>844</v>
      </c>
      <c r="E91" t="s">
        <v>714</v>
      </c>
      <c r="F91" t="s">
        <v>306</v>
      </c>
    </row>
    <row r="92" spans="1:6" x14ac:dyDescent="0.3">
      <c r="A92" s="1">
        <v>91</v>
      </c>
      <c r="B92" s="1" t="s">
        <v>307</v>
      </c>
      <c r="C92" s="1" t="s">
        <v>521</v>
      </c>
      <c r="D92" s="1" t="s">
        <v>845</v>
      </c>
      <c r="E92" t="s">
        <v>715</v>
      </c>
      <c r="F92" t="s">
        <v>309</v>
      </c>
    </row>
    <row r="93" spans="1:6" x14ac:dyDescent="0.3">
      <c r="A93" s="1">
        <v>92</v>
      </c>
      <c r="B93" s="1" t="s">
        <v>311</v>
      </c>
      <c r="C93" s="1" t="s">
        <v>522</v>
      </c>
      <c r="D93" s="1" t="s">
        <v>846</v>
      </c>
      <c r="E93" t="s">
        <v>716</v>
      </c>
      <c r="F93" t="s">
        <v>312</v>
      </c>
    </row>
    <row r="94" spans="1:6" x14ac:dyDescent="0.3">
      <c r="A94" s="1">
        <v>93</v>
      </c>
      <c r="B94" s="1" t="s">
        <v>313</v>
      </c>
      <c r="C94" s="1" t="s">
        <v>523</v>
      </c>
      <c r="D94" s="1" t="s">
        <v>847</v>
      </c>
      <c r="E94" t="s">
        <v>717</v>
      </c>
      <c r="F94" t="s">
        <v>315</v>
      </c>
    </row>
    <row r="95" spans="1:6" x14ac:dyDescent="0.3">
      <c r="A95" s="1">
        <v>94</v>
      </c>
      <c r="B95" s="1" t="s">
        <v>317</v>
      </c>
      <c r="C95" s="1" t="s">
        <v>524</v>
      </c>
      <c r="D95" s="1" t="s">
        <v>848</v>
      </c>
      <c r="E95" t="s">
        <v>718</v>
      </c>
      <c r="F95" t="s">
        <v>318</v>
      </c>
    </row>
    <row r="96" spans="1:6" x14ac:dyDescent="0.3">
      <c r="A96" s="1">
        <v>95</v>
      </c>
      <c r="B96" s="1" t="s">
        <v>319</v>
      </c>
      <c r="C96" s="1" t="s">
        <v>525</v>
      </c>
      <c r="D96" s="1" t="s">
        <v>849</v>
      </c>
      <c r="E96" t="s">
        <v>719</v>
      </c>
      <c r="F96" t="s">
        <v>321</v>
      </c>
    </row>
    <row r="97" spans="1:6" x14ac:dyDescent="0.3">
      <c r="A97" s="1">
        <v>96</v>
      </c>
      <c r="B97" s="1" t="s">
        <v>324</v>
      </c>
      <c r="C97" s="1" t="s">
        <v>526</v>
      </c>
      <c r="D97" s="1" t="s">
        <v>850</v>
      </c>
      <c r="E97" t="s">
        <v>720</v>
      </c>
      <c r="F97" t="s">
        <v>325</v>
      </c>
    </row>
    <row r="98" spans="1:6" x14ac:dyDescent="0.3">
      <c r="A98" s="1">
        <v>97</v>
      </c>
      <c r="B98" s="1" t="s">
        <v>326</v>
      </c>
      <c r="C98" s="1" t="s">
        <v>527</v>
      </c>
      <c r="D98" s="1" t="s">
        <v>851</v>
      </c>
      <c r="E98" t="s">
        <v>721</v>
      </c>
      <c r="F98" t="s">
        <v>328</v>
      </c>
    </row>
    <row r="99" spans="1:6" x14ac:dyDescent="0.3">
      <c r="A99" s="1">
        <v>98</v>
      </c>
      <c r="B99" s="1" t="s">
        <v>330</v>
      </c>
      <c r="C99" s="1" t="s">
        <v>528</v>
      </c>
      <c r="D99" s="1" t="s">
        <v>852</v>
      </c>
      <c r="E99" t="s">
        <v>722</v>
      </c>
      <c r="F99" t="s">
        <v>331</v>
      </c>
    </row>
    <row r="100" spans="1:6" x14ac:dyDescent="0.3">
      <c r="A100" s="1">
        <v>99</v>
      </c>
      <c r="B100" s="1" t="s">
        <v>332</v>
      </c>
      <c r="C100" s="1" t="s">
        <v>529</v>
      </c>
      <c r="D100" s="1" t="s">
        <v>853</v>
      </c>
      <c r="E100" t="s">
        <v>723</v>
      </c>
      <c r="F100" t="s">
        <v>334</v>
      </c>
    </row>
    <row r="101" spans="1:6" x14ac:dyDescent="0.3">
      <c r="A101" s="1">
        <v>100</v>
      </c>
      <c r="B101" s="1" t="s">
        <v>336</v>
      </c>
      <c r="C101" s="1" t="s">
        <v>530</v>
      </c>
      <c r="D101" s="1" t="s">
        <v>854</v>
      </c>
      <c r="E101" t="s">
        <v>724</v>
      </c>
      <c r="F101" t="s">
        <v>337</v>
      </c>
    </row>
    <row r="102" spans="1:6" x14ac:dyDescent="0.3">
      <c r="A102" s="1">
        <v>101</v>
      </c>
      <c r="B102" s="1" t="s">
        <v>338</v>
      </c>
      <c r="C102" s="1" t="s">
        <v>531</v>
      </c>
      <c r="D102" s="1" t="s">
        <v>855</v>
      </c>
      <c r="E102" t="s">
        <v>725</v>
      </c>
      <c r="F102" t="s">
        <v>340</v>
      </c>
    </row>
    <row r="103" spans="1:6" x14ac:dyDescent="0.3">
      <c r="A103" s="1">
        <v>102</v>
      </c>
      <c r="B103" s="1" t="s">
        <v>342</v>
      </c>
      <c r="C103" s="1" t="s">
        <v>532</v>
      </c>
      <c r="D103" s="1" t="s">
        <v>856</v>
      </c>
      <c r="E103" t="s">
        <v>726</v>
      </c>
      <c r="F103" t="s">
        <v>343</v>
      </c>
    </row>
    <row r="104" spans="1:6" x14ac:dyDescent="0.3">
      <c r="A104" s="1">
        <v>103</v>
      </c>
      <c r="B104" s="1" t="s">
        <v>344</v>
      </c>
      <c r="C104" s="1" t="s">
        <v>533</v>
      </c>
      <c r="D104" s="1" t="s">
        <v>857</v>
      </c>
      <c r="E104" t="s">
        <v>727</v>
      </c>
      <c r="F104" t="s">
        <v>346</v>
      </c>
    </row>
    <row r="105" spans="1:6" x14ac:dyDescent="0.3">
      <c r="A105" s="1">
        <v>104</v>
      </c>
      <c r="B105" s="1" t="s">
        <v>348</v>
      </c>
      <c r="C105" s="1" t="s">
        <v>534</v>
      </c>
      <c r="D105" s="1" t="s">
        <v>858</v>
      </c>
      <c r="E105" t="s">
        <v>728</v>
      </c>
      <c r="F105" t="s">
        <v>349</v>
      </c>
    </row>
    <row r="106" spans="1:6" x14ac:dyDescent="0.3">
      <c r="A106" s="1">
        <v>105</v>
      </c>
      <c r="B106" s="1" t="s">
        <v>350</v>
      </c>
      <c r="C106" s="1" t="s">
        <v>535</v>
      </c>
      <c r="D106" s="1" t="s">
        <v>859</v>
      </c>
      <c r="E106" t="s">
        <v>729</v>
      </c>
      <c r="F106" t="s">
        <v>352</v>
      </c>
    </row>
    <row r="107" spans="1:6" x14ac:dyDescent="0.3">
      <c r="A107" s="1">
        <v>106</v>
      </c>
      <c r="B107" s="1" t="s">
        <v>353</v>
      </c>
      <c r="C107" s="1" t="s">
        <v>536</v>
      </c>
      <c r="D107" s="1" t="s">
        <v>860</v>
      </c>
      <c r="E107" t="s">
        <v>730</v>
      </c>
      <c r="F107" t="s">
        <v>354</v>
      </c>
    </row>
    <row r="108" spans="1:6" x14ac:dyDescent="0.3">
      <c r="A108" s="1">
        <v>107</v>
      </c>
      <c r="B108" s="1" t="s">
        <v>355</v>
      </c>
      <c r="C108" s="1" t="s">
        <v>537</v>
      </c>
      <c r="D108" s="1" t="s">
        <v>861</v>
      </c>
      <c r="E108" t="s">
        <v>731</v>
      </c>
      <c r="F108" t="s">
        <v>360</v>
      </c>
    </row>
    <row r="109" spans="1:6" x14ac:dyDescent="0.3">
      <c r="A109" s="1">
        <v>108</v>
      </c>
      <c r="B109" s="1" t="s">
        <v>361</v>
      </c>
      <c r="C109" s="1" t="s">
        <v>538</v>
      </c>
      <c r="D109" s="1" t="s">
        <v>862</v>
      </c>
      <c r="E109" t="s">
        <v>732</v>
      </c>
      <c r="F109" t="s">
        <v>362</v>
      </c>
    </row>
    <row r="110" spans="1:6" x14ac:dyDescent="0.3">
      <c r="A110" s="1">
        <v>109</v>
      </c>
      <c r="B110" s="1" t="s">
        <v>363</v>
      </c>
      <c r="C110" s="1" t="s">
        <v>539</v>
      </c>
      <c r="D110" s="1" t="s">
        <v>863</v>
      </c>
      <c r="E110" t="s">
        <v>733</v>
      </c>
      <c r="F110" t="s">
        <v>365</v>
      </c>
    </row>
    <row r="111" spans="1:6" x14ac:dyDescent="0.3">
      <c r="A111" s="1">
        <v>110</v>
      </c>
      <c r="B111" s="1" t="s">
        <v>367</v>
      </c>
      <c r="C111" s="1" t="s">
        <v>540</v>
      </c>
      <c r="D111" s="1" t="s">
        <v>864</v>
      </c>
      <c r="E111" t="s">
        <v>734</v>
      </c>
      <c r="F111" t="s">
        <v>368</v>
      </c>
    </row>
    <row r="112" spans="1:6" x14ac:dyDescent="0.3">
      <c r="A112" s="1">
        <v>111</v>
      </c>
      <c r="B112" s="1" t="s">
        <v>369</v>
      </c>
      <c r="C112" s="1" t="s">
        <v>541</v>
      </c>
      <c r="D112" s="1" t="s">
        <v>865</v>
      </c>
      <c r="E112" t="s">
        <v>735</v>
      </c>
      <c r="F112" t="s">
        <v>371</v>
      </c>
    </row>
    <row r="113" spans="1:6" x14ac:dyDescent="0.3">
      <c r="A113" s="1">
        <v>112</v>
      </c>
      <c r="B113" s="1" t="s">
        <v>373</v>
      </c>
      <c r="C113" s="1" t="s">
        <v>542</v>
      </c>
      <c r="D113" s="1" t="s">
        <v>866</v>
      </c>
      <c r="E113" t="s">
        <v>736</v>
      </c>
      <c r="F113" t="s">
        <v>374</v>
      </c>
    </row>
    <row r="114" spans="1:6" x14ac:dyDescent="0.3">
      <c r="A114" s="1">
        <v>113</v>
      </c>
      <c r="B114" s="1" t="s">
        <v>375</v>
      </c>
      <c r="C114" s="1" t="s">
        <v>543</v>
      </c>
      <c r="D114" s="1" t="s">
        <v>867</v>
      </c>
      <c r="E114" t="s">
        <v>737</v>
      </c>
      <c r="F114" t="s">
        <v>377</v>
      </c>
    </row>
    <row r="115" spans="1:6" x14ac:dyDescent="0.3">
      <c r="A115" s="1">
        <v>114</v>
      </c>
      <c r="B115" s="1" t="s">
        <v>379</v>
      </c>
      <c r="C115" s="1" t="s">
        <v>544</v>
      </c>
      <c r="D115" s="1" t="s">
        <v>868</v>
      </c>
      <c r="E115" t="s">
        <v>738</v>
      </c>
      <c r="F115" t="s">
        <v>380</v>
      </c>
    </row>
    <row r="116" spans="1:6" x14ac:dyDescent="0.3">
      <c r="A116" s="1">
        <v>115</v>
      </c>
      <c r="B116" s="1" t="s">
        <v>381</v>
      </c>
      <c r="C116" s="1" t="s">
        <v>545</v>
      </c>
      <c r="D116" s="1" t="s">
        <v>869</v>
      </c>
      <c r="E116" t="s">
        <v>739</v>
      </c>
      <c r="F116" t="s">
        <v>383</v>
      </c>
    </row>
    <row r="117" spans="1:6" x14ac:dyDescent="0.3">
      <c r="A117" s="1">
        <v>116</v>
      </c>
      <c r="B117" s="1" t="s">
        <v>385</v>
      </c>
      <c r="C117" s="1" t="s">
        <v>546</v>
      </c>
      <c r="D117" s="1" t="s">
        <v>870</v>
      </c>
      <c r="E117" t="s">
        <v>740</v>
      </c>
      <c r="F117" t="s">
        <v>386</v>
      </c>
    </row>
    <row r="118" spans="1:6" x14ac:dyDescent="0.3">
      <c r="A118" s="1">
        <v>117</v>
      </c>
      <c r="B118" s="1" t="s">
        <v>387</v>
      </c>
      <c r="C118" s="1" t="s">
        <v>547</v>
      </c>
      <c r="D118" s="1" t="s">
        <v>871</v>
      </c>
      <c r="E118" t="s">
        <v>741</v>
      </c>
      <c r="F118" t="s">
        <v>389</v>
      </c>
    </row>
    <row r="119" spans="1:6" x14ac:dyDescent="0.3">
      <c r="A119" s="1">
        <v>118</v>
      </c>
      <c r="B119" s="1" t="s">
        <v>391</v>
      </c>
      <c r="C119" s="1" t="s">
        <v>548</v>
      </c>
      <c r="D119" s="1" t="s">
        <v>872</v>
      </c>
      <c r="E119" t="s">
        <v>742</v>
      </c>
      <c r="F119" t="s">
        <v>392</v>
      </c>
    </row>
    <row r="120" spans="1:6" x14ac:dyDescent="0.3">
      <c r="A120" s="1">
        <v>119</v>
      </c>
      <c r="B120" s="1" t="s">
        <v>393</v>
      </c>
      <c r="C120" s="1" t="s">
        <v>549</v>
      </c>
      <c r="D120" s="1" t="s">
        <v>873</v>
      </c>
      <c r="E120" t="s">
        <v>743</v>
      </c>
      <c r="F120" t="s">
        <v>395</v>
      </c>
    </row>
    <row r="121" spans="1:6" x14ac:dyDescent="0.3">
      <c r="A121" s="1">
        <v>120</v>
      </c>
      <c r="B121" s="1" t="s">
        <v>397</v>
      </c>
      <c r="C121" s="1" t="s">
        <v>550</v>
      </c>
      <c r="D121" s="1" t="s">
        <v>874</v>
      </c>
      <c r="E121" t="s">
        <v>744</v>
      </c>
      <c r="F121" t="s">
        <v>398</v>
      </c>
    </row>
    <row r="122" spans="1:6" x14ac:dyDescent="0.3">
      <c r="A122" s="1">
        <v>121</v>
      </c>
      <c r="B122" s="1" t="s">
        <v>399</v>
      </c>
      <c r="C122" s="1" t="s">
        <v>551</v>
      </c>
      <c r="D122" s="1" t="s">
        <v>875</v>
      </c>
      <c r="E122" t="s">
        <v>745</v>
      </c>
      <c r="F122" t="s">
        <v>401</v>
      </c>
    </row>
    <row r="123" spans="1:6" x14ac:dyDescent="0.3">
      <c r="A123" s="1">
        <v>122</v>
      </c>
      <c r="B123" s="1" t="s">
        <v>403</v>
      </c>
      <c r="C123" s="1" t="s">
        <v>552</v>
      </c>
      <c r="D123" s="1" t="s">
        <v>876</v>
      </c>
      <c r="E123" t="s">
        <v>746</v>
      </c>
      <c r="F123" t="s">
        <v>404</v>
      </c>
    </row>
    <row r="124" spans="1:6" x14ac:dyDescent="0.3">
      <c r="A124" s="1">
        <v>123</v>
      </c>
      <c r="B124" s="1" t="s">
        <v>405</v>
      </c>
      <c r="C124" s="1" t="s">
        <v>553</v>
      </c>
      <c r="D124" s="1" t="s">
        <v>877</v>
      </c>
      <c r="E124" t="s">
        <v>747</v>
      </c>
      <c r="F124" t="s">
        <v>407</v>
      </c>
    </row>
    <row r="125" spans="1:6" x14ac:dyDescent="0.3">
      <c r="A125" s="1">
        <v>124</v>
      </c>
      <c r="B125" s="1" t="s">
        <v>409</v>
      </c>
      <c r="C125" s="1" t="s">
        <v>554</v>
      </c>
      <c r="D125" s="1" t="s">
        <v>878</v>
      </c>
      <c r="E125" t="s">
        <v>748</v>
      </c>
      <c r="F125" t="s">
        <v>410</v>
      </c>
    </row>
    <row r="126" spans="1:6" x14ac:dyDescent="0.3">
      <c r="A126" s="1">
        <v>125</v>
      </c>
      <c r="B126" s="1" t="s">
        <v>411</v>
      </c>
      <c r="C126" s="1" t="s">
        <v>555</v>
      </c>
      <c r="D126" s="1" t="s">
        <v>879</v>
      </c>
      <c r="E126" t="s">
        <v>749</v>
      </c>
      <c r="F126" t="s">
        <v>415</v>
      </c>
    </row>
    <row r="127" spans="1:6" x14ac:dyDescent="0.3">
      <c r="A127" s="1">
        <v>126</v>
      </c>
      <c r="B127" s="1" t="s">
        <v>416</v>
      </c>
      <c r="C127" s="1" t="s">
        <v>556</v>
      </c>
      <c r="D127" s="1" t="s">
        <v>880</v>
      </c>
      <c r="E127" t="s">
        <v>750</v>
      </c>
      <c r="F127" t="s">
        <v>417</v>
      </c>
    </row>
    <row r="128" spans="1:6" x14ac:dyDescent="0.3">
      <c r="A128" s="1">
        <v>127</v>
      </c>
      <c r="B128" s="1" t="s">
        <v>418</v>
      </c>
      <c r="C128" s="1" t="s">
        <v>557</v>
      </c>
      <c r="D128" s="1" t="s">
        <v>881</v>
      </c>
      <c r="E128" t="s">
        <v>751</v>
      </c>
      <c r="F128" t="s">
        <v>420</v>
      </c>
    </row>
    <row r="129" spans="1:6" x14ac:dyDescent="0.3">
      <c r="A129" s="1">
        <v>128</v>
      </c>
      <c r="B129" s="1" t="s">
        <v>421</v>
      </c>
      <c r="C129" s="1" t="s">
        <v>558</v>
      </c>
      <c r="D129" s="1" t="s">
        <v>882</v>
      </c>
      <c r="E129" t="s">
        <v>752</v>
      </c>
      <c r="F129" t="s">
        <v>422</v>
      </c>
    </row>
    <row r="130" spans="1:6" x14ac:dyDescent="0.3">
      <c r="A130" s="1">
        <v>129</v>
      </c>
      <c r="B130" s="1" t="s">
        <v>423</v>
      </c>
      <c r="C130" s="1" t="s">
        <v>559</v>
      </c>
      <c r="D130" s="1" t="s">
        <v>883</v>
      </c>
      <c r="E130" t="s">
        <v>753</v>
      </c>
      <c r="F130" t="s">
        <v>425</v>
      </c>
    </row>
    <row r="131" spans="1:6" x14ac:dyDescent="0.3">
      <c r="A131" s="1">
        <v>130</v>
      </c>
      <c r="B131" s="1" t="s">
        <v>426</v>
      </c>
      <c r="C131" s="1" t="s">
        <v>560</v>
      </c>
      <c r="D131" s="1" t="s">
        <v>884</v>
      </c>
      <c r="E131" t="s">
        <v>754</v>
      </c>
      <c r="F131" t="s">
        <v>427</v>
      </c>
    </row>
    <row r="133" spans="1:6" s="13" customFormat="1" x14ac:dyDescent="0.3"/>
    <row r="134" spans="1:6" s="14" customFormat="1" x14ac:dyDescent="0.3">
      <c r="B134" s="15" t="s">
        <v>903</v>
      </c>
      <c r="C134" s="15" t="s">
        <v>893</v>
      </c>
      <c r="D134" s="14" t="s">
        <v>896</v>
      </c>
      <c r="E134" s="14" t="s">
        <v>894</v>
      </c>
      <c r="F134" s="14" t="s">
        <v>895</v>
      </c>
    </row>
    <row r="135" spans="1:6" x14ac:dyDescent="0.3">
      <c r="B135" s="17" t="s">
        <v>902</v>
      </c>
      <c r="C135" s="1" t="s">
        <v>897</v>
      </c>
      <c r="D135" t="s">
        <v>898</v>
      </c>
      <c r="E135" t="s">
        <v>899</v>
      </c>
      <c r="F135" s="16" t="s">
        <v>900</v>
      </c>
    </row>
    <row r="136" spans="1:6" x14ac:dyDescent="0.3">
      <c r="B136" s="17" t="s">
        <v>901</v>
      </c>
      <c r="C136" s="1" t="s">
        <v>888</v>
      </c>
      <c r="D136" t="s">
        <v>889</v>
      </c>
      <c r="E136" t="s">
        <v>890</v>
      </c>
      <c r="F136" t="s">
        <v>891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A71D-A68E-4833-979A-122BEF11DBC8}">
  <sheetPr>
    <tabColor theme="6" tint="0.39997558519241921"/>
  </sheetPr>
  <dimension ref="A1:W131"/>
  <sheetViews>
    <sheetView zoomScale="70" zoomScaleNormal="70" workbookViewId="0">
      <selection activeCell="N1" sqref="N1"/>
    </sheetView>
  </sheetViews>
  <sheetFormatPr defaultColWidth="11.44140625" defaultRowHeight="14.4" x14ac:dyDescent="0.3"/>
  <cols>
    <col min="1" max="1" width="4.44140625" bestFit="1" customWidth="1"/>
    <col min="2" max="2" width="33.88671875" bestFit="1" customWidth="1"/>
    <col min="3" max="3" width="5.88671875" customWidth="1"/>
    <col min="4" max="4" width="7.33203125" customWidth="1"/>
    <col min="5" max="5" width="53.33203125" customWidth="1"/>
    <col min="6" max="6" width="44.44140625" customWidth="1"/>
    <col min="7" max="7" width="15" customWidth="1"/>
    <col min="8" max="8" width="14" customWidth="1"/>
    <col min="9" max="9" width="29.5546875" style="1" bestFit="1" customWidth="1"/>
    <col min="10" max="10" width="17" customWidth="1"/>
    <col min="11" max="11" width="42.5546875" customWidth="1"/>
    <col min="12" max="12" width="30.6640625" bestFit="1" customWidth="1"/>
    <col min="14" max="14" width="7.33203125" bestFit="1" customWidth="1"/>
    <col min="15" max="15" width="17.88671875" bestFit="1" customWidth="1"/>
    <col min="16" max="16" width="18.33203125" bestFit="1" customWidth="1"/>
    <col min="17" max="20" width="18.33203125" customWidth="1"/>
    <col min="21" max="21" width="14.88671875" bestFit="1" customWidth="1"/>
    <col min="22" max="22" width="19.109375" bestFit="1" customWidth="1"/>
    <col min="23" max="23" width="14.88671875" bestFit="1" customWidth="1"/>
  </cols>
  <sheetData>
    <row r="1" spans="1:23" x14ac:dyDescent="0.3">
      <c r="A1" s="1" t="s">
        <v>0</v>
      </c>
      <c r="B1" s="1" t="s">
        <v>1</v>
      </c>
      <c r="C1" s="1" t="s">
        <v>624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566</v>
      </c>
      <c r="J1" s="1" t="s">
        <v>8</v>
      </c>
      <c r="K1" s="1" t="s">
        <v>10</v>
      </c>
      <c r="L1" s="1" t="s">
        <v>11</v>
      </c>
      <c r="M1" s="1" t="s">
        <v>577</v>
      </c>
      <c r="N1" s="1" t="s">
        <v>756</v>
      </c>
      <c r="O1" s="1" t="s">
        <v>428</v>
      </c>
      <c r="P1" s="1" t="s">
        <v>429</v>
      </c>
      <c r="Q1" s="1" t="s">
        <v>430</v>
      </c>
      <c r="R1" s="1" t="s">
        <v>620</v>
      </c>
      <c r="S1" s="1" t="s">
        <v>621</v>
      </c>
      <c r="T1" s="1" t="s">
        <v>622</v>
      </c>
      <c r="U1" s="1" t="s">
        <v>618</v>
      </c>
      <c r="V1" s="1" t="s">
        <v>617</v>
      </c>
      <c r="W1" s="1" t="s">
        <v>619</v>
      </c>
    </row>
    <row r="2" spans="1:23" x14ac:dyDescent="0.3">
      <c r="A2" s="1">
        <v>1</v>
      </c>
      <c r="B2" s="1" t="s">
        <v>12</v>
      </c>
      <c r="C2" s="1">
        <v>301</v>
      </c>
      <c r="D2" s="1">
        <v>1</v>
      </c>
      <c r="E2" s="1" t="s">
        <v>13</v>
      </c>
      <c r="F2" s="1">
        <v>17009824</v>
      </c>
      <c r="G2" s="1" t="s">
        <v>14</v>
      </c>
      <c r="H2" s="1" t="s">
        <v>15</v>
      </c>
      <c r="I2" s="1">
        <v>0.72499999999999998</v>
      </c>
      <c r="J2" s="1" t="s">
        <v>16</v>
      </c>
      <c r="K2" s="1" t="s">
        <v>18</v>
      </c>
      <c r="L2" s="1" t="s">
        <v>19</v>
      </c>
      <c r="M2" s="1" t="s">
        <v>578</v>
      </c>
      <c r="N2" s="1" t="s">
        <v>431</v>
      </c>
      <c r="O2" s="2">
        <v>1.0361969516078899</v>
      </c>
      <c r="P2" s="2">
        <v>1.0077485230426035</v>
      </c>
      <c r="Q2" s="2">
        <v>1.1743541692005481</v>
      </c>
      <c r="R2" s="2">
        <v>1.6584653017050632</v>
      </c>
      <c r="S2" s="2">
        <v>1.2743357133002631</v>
      </c>
      <c r="T2" s="2">
        <v>1.3327143222838154</v>
      </c>
      <c r="U2" s="2">
        <f>AVERAGE(O2:T2)</f>
        <v>1.2473024968566973</v>
      </c>
      <c r="V2" s="3">
        <f>STDEV(O2:T2)</f>
        <v>0.2384759706627069</v>
      </c>
      <c r="W2" s="1">
        <f>_xlfn.T.TEST(O2:T2,O3:T3,2,3)</f>
        <v>6.5324322726321689E-4</v>
      </c>
    </row>
    <row r="3" spans="1:23" x14ac:dyDescent="0.3">
      <c r="A3" s="1">
        <v>2</v>
      </c>
      <c r="B3" s="1" t="s">
        <v>20</v>
      </c>
      <c r="C3" s="1">
        <v>301</v>
      </c>
      <c r="D3" s="1">
        <v>1</v>
      </c>
      <c r="E3" s="1" t="s">
        <v>13</v>
      </c>
      <c r="F3" s="1">
        <v>17009824</v>
      </c>
      <c r="G3" s="1" t="s">
        <v>14</v>
      </c>
      <c r="H3" s="1" t="s">
        <v>15</v>
      </c>
      <c r="I3" s="1">
        <v>0.72499999999999998</v>
      </c>
      <c r="J3" s="1" t="s">
        <v>16</v>
      </c>
      <c r="K3" s="1" t="s">
        <v>18</v>
      </c>
      <c r="L3" s="1" t="s">
        <v>19</v>
      </c>
      <c r="M3" s="1" t="s">
        <v>578</v>
      </c>
      <c r="N3" s="1" t="s">
        <v>432</v>
      </c>
      <c r="O3" s="2">
        <v>0.65438349081130698</v>
      </c>
      <c r="P3" s="2">
        <v>0.43893162141263709</v>
      </c>
      <c r="Q3" s="2">
        <v>0.67696458074835097</v>
      </c>
      <c r="R3" s="2">
        <v>0.66589237123739775</v>
      </c>
      <c r="S3" s="2">
        <v>0.53200327738470565</v>
      </c>
      <c r="T3" s="2">
        <v>0.89078100895067591</v>
      </c>
      <c r="U3" s="2">
        <f>AVERAGE(O3:T3)</f>
        <v>0.64315939175751236</v>
      </c>
      <c r="V3" s="3">
        <f>STDEV(O3:T3)</f>
        <v>0.15307951450286589</v>
      </c>
      <c r="W3" s="1" t="s">
        <v>561</v>
      </c>
    </row>
    <row r="4" spans="1:23" x14ac:dyDescent="0.3">
      <c r="A4" s="1">
        <v>3</v>
      </c>
      <c r="B4" s="1" t="s">
        <v>22</v>
      </c>
      <c r="C4" s="1">
        <v>301</v>
      </c>
      <c r="D4" s="1">
        <v>1</v>
      </c>
      <c r="E4" s="1" t="s">
        <v>23</v>
      </c>
      <c r="F4" s="1">
        <v>54764162</v>
      </c>
      <c r="G4" s="1" t="s">
        <v>24</v>
      </c>
      <c r="H4" s="1" t="s">
        <v>15</v>
      </c>
      <c r="I4" s="1">
        <v>0.13</v>
      </c>
      <c r="J4" s="1" t="s">
        <v>25</v>
      </c>
      <c r="K4" s="1" t="s">
        <v>27</v>
      </c>
      <c r="L4" s="1" t="s">
        <v>28</v>
      </c>
      <c r="M4" s="1" t="s">
        <v>579</v>
      </c>
      <c r="N4" s="1" t="s">
        <v>433</v>
      </c>
      <c r="O4" s="2">
        <v>0.76676844540934397</v>
      </c>
      <c r="P4" s="2">
        <v>0.84544378571502177</v>
      </c>
      <c r="Q4" s="2">
        <v>0.74497462078356469</v>
      </c>
      <c r="R4" s="2">
        <v>0.48395565396194756</v>
      </c>
      <c r="S4" s="2">
        <v>0.43500182271728122</v>
      </c>
      <c r="T4" s="2">
        <v>1.0178869886597934</v>
      </c>
      <c r="U4" s="2">
        <f t="shared" ref="U4:U67" si="0">AVERAGE(O4:T4)</f>
        <v>0.7156718862078254</v>
      </c>
      <c r="V4" s="3">
        <f t="shared" ref="V4:V67" si="1">STDEV(O4:T4)</f>
        <v>0.22095805913956687</v>
      </c>
      <c r="W4" s="1">
        <f>_xlfn.T.TEST(O4:T4,O5:T5,2,3)</f>
        <v>0.76202720822818026</v>
      </c>
    </row>
    <row r="5" spans="1:23" x14ac:dyDescent="0.3">
      <c r="A5" s="1">
        <v>4</v>
      </c>
      <c r="B5" s="1" t="s">
        <v>29</v>
      </c>
      <c r="C5" s="1">
        <v>301</v>
      </c>
      <c r="D5" s="1">
        <v>1</v>
      </c>
      <c r="E5" s="1" t="s">
        <v>23</v>
      </c>
      <c r="F5" s="1">
        <v>54764162</v>
      </c>
      <c r="G5" s="1" t="s">
        <v>24</v>
      </c>
      <c r="H5" s="1" t="s">
        <v>15</v>
      </c>
      <c r="I5" s="1">
        <v>0.13</v>
      </c>
      <c r="J5" s="1" t="s">
        <v>25</v>
      </c>
      <c r="K5" s="1" t="s">
        <v>27</v>
      </c>
      <c r="L5" s="1" t="s">
        <v>28</v>
      </c>
      <c r="M5" s="1" t="s">
        <v>579</v>
      </c>
      <c r="N5" s="1" t="s">
        <v>434</v>
      </c>
      <c r="O5" s="2">
        <v>0.58843422872477191</v>
      </c>
      <c r="P5" s="2">
        <v>0.71396807873592372</v>
      </c>
      <c r="Q5" s="2">
        <v>0.50796952764213044</v>
      </c>
      <c r="R5" s="2">
        <v>0.86790476642147063</v>
      </c>
      <c r="S5" s="2">
        <v>0.72333156882484639</v>
      </c>
      <c r="T5" s="2">
        <v>1.1309897391145223</v>
      </c>
      <c r="U5" s="2">
        <f t="shared" si="0"/>
        <v>0.75543298491061084</v>
      </c>
      <c r="V5" s="3">
        <f t="shared" si="1"/>
        <v>0.22161649932894331</v>
      </c>
      <c r="W5" s="1" t="s">
        <v>561</v>
      </c>
    </row>
    <row r="6" spans="1:23" x14ac:dyDescent="0.3">
      <c r="A6" s="1">
        <v>5</v>
      </c>
      <c r="B6" s="1" t="s">
        <v>31</v>
      </c>
      <c r="C6" s="1">
        <v>583</v>
      </c>
      <c r="D6" s="1">
        <v>2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567</v>
      </c>
      <c r="J6" s="1" t="s">
        <v>36</v>
      </c>
      <c r="K6" s="1" t="s">
        <v>38</v>
      </c>
      <c r="L6" s="1" t="s">
        <v>39</v>
      </c>
      <c r="M6" s="1" t="s">
        <v>580</v>
      </c>
      <c r="N6" s="1" t="s">
        <v>435</v>
      </c>
      <c r="O6" s="2">
        <v>0.40812362285624548</v>
      </c>
      <c r="P6" s="2">
        <v>0.73066695954352445</v>
      </c>
      <c r="Q6" s="2">
        <v>0.5870037633321844</v>
      </c>
      <c r="R6" s="2">
        <v>1.2563815336916613</v>
      </c>
      <c r="S6" s="2">
        <v>0.76563101216750651</v>
      </c>
      <c r="T6" s="2">
        <v>0.71782260393534458</v>
      </c>
      <c r="U6" s="2">
        <f t="shared" si="0"/>
        <v>0.74427158258774451</v>
      </c>
      <c r="V6" s="3">
        <f t="shared" si="1"/>
        <v>0.28331116437465292</v>
      </c>
      <c r="W6" s="1">
        <f>_xlfn.T.TEST(O6:T6,O7:T7,2,3)</f>
        <v>0.69627894892781073</v>
      </c>
    </row>
    <row r="7" spans="1:23" x14ac:dyDescent="0.3">
      <c r="A7" s="1">
        <v>6</v>
      </c>
      <c r="B7" s="1" t="s">
        <v>40</v>
      </c>
      <c r="C7" s="1">
        <v>583</v>
      </c>
      <c r="D7" s="1">
        <v>2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567</v>
      </c>
      <c r="J7" s="1" t="s">
        <v>36</v>
      </c>
      <c r="K7" s="1" t="s">
        <v>38</v>
      </c>
      <c r="L7" s="1" t="s">
        <v>39</v>
      </c>
      <c r="M7" s="1" t="s">
        <v>580</v>
      </c>
      <c r="N7" s="1" t="s">
        <v>436</v>
      </c>
      <c r="O7" s="2">
        <v>1.1807018666783338</v>
      </c>
      <c r="P7" s="2">
        <v>0.53001022942646425</v>
      </c>
      <c r="Q7" s="2">
        <v>1.0870343490511516</v>
      </c>
      <c r="R7" s="2">
        <v>1.6977547064030969</v>
      </c>
      <c r="S7" s="2">
        <v>0.21139968101056994</v>
      </c>
      <c r="T7" s="2">
        <v>0.38904742108718082</v>
      </c>
      <c r="U7" s="2">
        <f t="shared" si="0"/>
        <v>0.84932470894279943</v>
      </c>
      <c r="V7" s="3">
        <f t="shared" si="1"/>
        <v>0.56690659090658879</v>
      </c>
      <c r="W7" s="1" t="s">
        <v>561</v>
      </c>
    </row>
    <row r="8" spans="1:23" x14ac:dyDescent="0.3">
      <c r="A8" s="1">
        <v>7</v>
      </c>
      <c r="B8" s="1" t="s">
        <v>42</v>
      </c>
      <c r="C8" s="1">
        <v>301</v>
      </c>
      <c r="D8" s="1">
        <v>1</v>
      </c>
      <c r="E8" s="1" t="s">
        <v>43</v>
      </c>
      <c r="F8" s="1">
        <v>10331310</v>
      </c>
      <c r="G8" s="1" t="s">
        <v>15</v>
      </c>
      <c r="H8" s="1" t="s">
        <v>24</v>
      </c>
      <c r="I8" s="1">
        <v>0.19600000000000001</v>
      </c>
      <c r="J8" s="1" t="s">
        <v>44</v>
      </c>
      <c r="K8" s="1" t="s">
        <v>46</v>
      </c>
      <c r="L8" s="1" t="s">
        <v>47</v>
      </c>
      <c r="M8" s="1" t="s">
        <v>581</v>
      </c>
      <c r="N8" s="1" t="s">
        <v>437</v>
      </c>
      <c r="O8" s="2">
        <v>0.19214744333891395</v>
      </c>
      <c r="P8" s="2">
        <v>0.1937718320364262</v>
      </c>
      <c r="Q8" s="2">
        <v>0.28870255474646572</v>
      </c>
      <c r="R8" s="2">
        <v>0.26433729277488133</v>
      </c>
      <c r="S8" s="2">
        <v>0.28566789344128923</v>
      </c>
      <c r="T8" s="2">
        <v>0.13760319373997373</v>
      </c>
      <c r="U8" s="2">
        <f t="shared" si="0"/>
        <v>0.22703836834632504</v>
      </c>
      <c r="V8" s="3">
        <f t="shared" si="1"/>
        <v>6.1569135780159504E-2</v>
      </c>
      <c r="W8" s="1">
        <f>_xlfn.T.TEST(O8:T8,O9:T9,2,3)</f>
        <v>0.54596402031214519</v>
      </c>
    </row>
    <row r="9" spans="1:23" x14ac:dyDescent="0.3">
      <c r="A9" s="1">
        <v>8</v>
      </c>
      <c r="B9" s="1" t="s">
        <v>48</v>
      </c>
      <c r="C9" s="1">
        <v>301</v>
      </c>
      <c r="D9" s="1">
        <v>1</v>
      </c>
      <c r="E9" s="1" t="s">
        <v>43</v>
      </c>
      <c r="F9" s="1">
        <v>10331310</v>
      </c>
      <c r="G9" s="1" t="s">
        <v>15</v>
      </c>
      <c r="H9" s="1" t="s">
        <v>24</v>
      </c>
      <c r="I9" s="1">
        <v>0.19600000000000001</v>
      </c>
      <c r="J9" s="1" t="s">
        <v>44</v>
      </c>
      <c r="K9" s="1" t="s">
        <v>46</v>
      </c>
      <c r="L9" s="1" t="s">
        <v>47</v>
      </c>
      <c r="M9" s="1" t="s">
        <v>581</v>
      </c>
      <c r="N9" s="1" t="s">
        <v>438</v>
      </c>
      <c r="O9" s="2">
        <v>1.0129141294490529</v>
      </c>
      <c r="P9" s="2">
        <v>0.14988114009385198</v>
      </c>
      <c r="Q9" s="2">
        <v>0.2420807731870766</v>
      </c>
      <c r="R9" s="2">
        <v>0.2178222995537657</v>
      </c>
      <c r="S9" s="2">
        <v>0.15021269008509336</v>
      </c>
      <c r="T9" s="2">
        <v>0.13902332447384635</v>
      </c>
      <c r="U9" s="2">
        <f t="shared" si="0"/>
        <v>0.31865572614044785</v>
      </c>
      <c r="V9" s="3">
        <f t="shared" si="1"/>
        <v>0.34268106189893049</v>
      </c>
      <c r="W9" s="1" t="s">
        <v>561</v>
      </c>
    </row>
    <row r="10" spans="1:23" x14ac:dyDescent="0.3">
      <c r="A10" s="1">
        <v>9</v>
      </c>
      <c r="B10" s="1" t="s">
        <v>50</v>
      </c>
      <c r="C10" s="1">
        <v>301</v>
      </c>
      <c r="D10" s="1">
        <v>1</v>
      </c>
      <c r="E10" s="1" t="s">
        <v>51</v>
      </c>
      <c r="F10" s="1">
        <v>105337189</v>
      </c>
      <c r="G10" s="1" t="s">
        <v>15</v>
      </c>
      <c r="H10" s="1" t="s">
        <v>24</v>
      </c>
      <c r="I10" s="1">
        <v>0.34499999999999997</v>
      </c>
      <c r="J10" s="1" t="s">
        <v>44</v>
      </c>
      <c r="K10" s="1" t="s">
        <v>53</v>
      </c>
      <c r="L10" s="1" t="s">
        <v>54</v>
      </c>
      <c r="M10" s="1" t="s">
        <v>582</v>
      </c>
      <c r="N10" s="1" t="s">
        <v>439</v>
      </c>
      <c r="O10" s="2">
        <v>1.9694281244968017</v>
      </c>
      <c r="P10" s="2">
        <v>1.8687268766657905</v>
      </c>
      <c r="Q10" s="2">
        <v>1.8260426723611363</v>
      </c>
      <c r="R10" s="2">
        <v>2.5413318855549383</v>
      </c>
      <c r="S10" s="2">
        <v>2.1703259491926401</v>
      </c>
      <c r="T10" s="2">
        <v>2.1318822242834385</v>
      </c>
      <c r="U10" s="2">
        <f t="shared" si="0"/>
        <v>2.0846229554257909</v>
      </c>
      <c r="V10" s="3">
        <f t="shared" si="1"/>
        <v>0.26264280579515947</v>
      </c>
      <c r="W10" s="1">
        <f>_xlfn.T.TEST(O10:T10,O11:T11,2,3)</f>
        <v>0.90187693968001104</v>
      </c>
    </row>
    <row r="11" spans="1:23" x14ac:dyDescent="0.3">
      <c r="A11" s="1">
        <v>10</v>
      </c>
      <c r="B11" s="1" t="s">
        <v>55</v>
      </c>
      <c r="C11" s="1">
        <v>301</v>
      </c>
      <c r="D11" s="1">
        <v>1</v>
      </c>
      <c r="E11" s="1" t="s">
        <v>51</v>
      </c>
      <c r="F11" s="1">
        <v>105337189</v>
      </c>
      <c r="G11" s="1" t="s">
        <v>15</v>
      </c>
      <c r="H11" s="1" t="s">
        <v>24</v>
      </c>
      <c r="I11" s="1">
        <v>0.34499999999999997</v>
      </c>
      <c r="J11" s="1" t="s">
        <v>44</v>
      </c>
      <c r="K11" s="1" t="s">
        <v>53</v>
      </c>
      <c r="L11" s="1" t="s">
        <v>54</v>
      </c>
      <c r="M11" s="1" t="s">
        <v>582</v>
      </c>
      <c r="N11" s="1" t="s">
        <v>440</v>
      </c>
      <c r="O11" s="2">
        <v>2.3427912009793768</v>
      </c>
      <c r="P11" s="2">
        <v>1.5318250160249769</v>
      </c>
      <c r="Q11" s="2">
        <v>2.8900408388695773</v>
      </c>
      <c r="R11" s="2">
        <v>1.7923105066971368</v>
      </c>
      <c r="S11" s="2">
        <v>1.836633486770018</v>
      </c>
      <c r="T11" s="2">
        <v>2.2878938841097334</v>
      </c>
      <c r="U11" s="2">
        <f t="shared" si="0"/>
        <v>2.1135824889084698</v>
      </c>
      <c r="V11" s="3">
        <f t="shared" si="1"/>
        <v>0.49074776800425884</v>
      </c>
      <c r="W11" s="1" t="s">
        <v>561</v>
      </c>
    </row>
    <row r="12" spans="1:23" x14ac:dyDescent="0.3">
      <c r="A12" s="1">
        <v>11</v>
      </c>
      <c r="B12" s="1" t="s">
        <v>57</v>
      </c>
      <c r="C12" s="1">
        <v>301</v>
      </c>
      <c r="D12" s="1">
        <v>1</v>
      </c>
      <c r="E12" s="1" t="s">
        <v>58</v>
      </c>
      <c r="F12" s="1">
        <v>145366886</v>
      </c>
      <c r="G12" s="1" t="s">
        <v>14</v>
      </c>
      <c r="H12" s="1" t="s">
        <v>15</v>
      </c>
      <c r="I12" s="1">
        <v>0.83899999999999997</v>
      </c>
      <c r="J12" s="1" t="s">
        <v>36</v>
      </c>
      <c r="K12" s="1" t="s">
        <v>60</v>
      </c>
      <c r="L12" s="1" t="s">
        <v>19</v>
      </c>
      <c r="M12" s="1" t="s">
        <v>583</v>
      </c>
      <c r="N12" s="1" t="s">
        <v>441</v>
      </c>
      <c r="O12" s="2">
        <v>1.8503566012407282</v>
      </c>
      <c r="P12" s="2">
        <v>0.6594425943840887</v>
      </c>
      <c r="Q12" s="2">
        <v>0.57645000995484352</v>
      </c>
      <c r="R12" s="2">
        <v>0.37077135169380676</v>
      </c>
      <c r="S12" s="2">
        <v>1.290401600759477</v>
      </c>
      <c r="T12" s="2">
        <v>0.54616306043296781</v>
      </c>
      <c r="U12" s="2">
        <f t="shared" si="0"/>
        <v>0.88226420307765208</v>
      </c>
      <c r="V12" s="3">
        <f t="shared" si="1"/>
        <v>0.56948041790523574</v>
      </c>
      <c r="W12" s="1">
        <f>_xlfn.T.TEST(O12:T12,O13:T13,2,3)</f>
        <v>0.20442510682539486</v>
      </c>
    </row>
    <row r="13" spans="1:23" x14ac:dyDescent="0.3">
      <c r="A13" s="1">
        <v>12</v>
      </c>
      <c r="B13" s="1" t="s">
        <v>61</v>
      </c>
      <c r="C13" s="1">
        <v>301</v>
      </c>
      <c r="D13" s="1">
        <v>1</v>
      </c>
      <c r="E13" s="1" t="s">
        <v>58</v>
      </c>
      <c r="F13" s="1">
        <v>145366886</v>
      </c>
      <c r="G13" s="1" t="s">
        <v>14</v>
      </c>
      <c r="H13" s="1" t="s">
        <v>15</v>
      </c>
      <c r="I13" s="1">
        <v>0.83899999999999997</v>
      </c>
      <c r="J13" s="1" t="s">
        <v>36</v>
      </c>
      <c r="K13" s="1" t="s">
        <v>60</v>
      </c>
      <c r="L13" s="1" t="s">
        <v>19</v>
      </c>
      <c r="M13" s="1" t="s">
        <v>583</v>
      </c>
      <c r="N13" s="1" t="s">
        <v>442</v>
      </c>
      <c r="O13" s="2">
        <v>0.47878283996319487</v>
      </c>
      <c r="P13" s="2">
        <v>0.61474348162233816</v>
      </c>
      <c r="Q13" s="2">
        <v>0.59353931769989354</v>
      </c>
      <c r="R13" s="2">
        <v>0.53887262697927352</v>
      </c>
      <c r="S13" s="2">
        <v>0.62556792826569607</v>
      </c>
      <c r="T13" s="2">
        <v>0.39638482241878253</v>
      </c>
      <c r="U13" s="2">
        <f t="shared" si="0"/>
        <v>0.5413151694915298</v>
      </c>
      <c r="V13" s="3">
        <f t="shared" si="1"/>
        <v>8.9597622504525645E-2</v>
      </c>
      <c r="W13" s="1" t="s">
        <v>561</v>
      </c>
    </row>
    <row r="14" spans="1:23" x14ac:dyDescent="0.3">
      <c r="A14" s="1">
        <v>13</v>
      </c>
      <c r="B14" s="1" t="s">
        <v>63</v>
      </c>
      <c r="C14" s="1">
        <v>301</v>
      </c>
      <c r="D14" s="1">
        <v>1</v>
      </c>
      <c r="E14" s="1" t="s">
        <v>64</v>
      </c>
      <c r="F14" s="1">
        <v>191151202</v>
      </c>
      <c r="G14" s="1" t="s">
        <v>24</v>
      </c>
      <c r="H14" s="1" t="s">
        <v>15</v>
      </c>
      <c r="I14" s="1">
        <v>0.58099999999999996</v>
      </c>
      <c r="J14" s="1" t="s">
        <v>16</v>
      </c>
      <c r="K14" s="1" t="s">
        <v>66</v>
      </c>
      <c r="L14" s="1" t="s">
        <v>67</v>
      </c>
      <c r="M14" s="1" t="s">
        <v>584</v>
      </c>
      <c r="N14" s="1" t="s">
        <v>443</v>
      </c>
      <c r="O14" s="2">
        <v>1.0870217603499468</v>
      </c>
      <c r="P14" s="2">
        <v>1.2577793530354069</v>
      </c>
      <c r="Q14" s="2">
        <v>0.9048588237435865</v>
      </c>
      <c r="R14" s="2">
        <v>0.66175014930932996</v>
      </c>
      <c r="S14" s="2">
        <v>0.77620211248638493</v>
      </c>
      <c r="T14" s="2">
        <v>1.0325723293852356</v>
      </c>
      <c r="U14" s="2">
        <f t="shared" si="0"/>
        <v>0.95336408805164841</v>
      </c>
      <c r="V14" s="3">
        <f t="shared" si="1"/>
        <v>0.21706440884450867</v>
      </c>
      <c r="W14" s="1">
        <f>_xlfn.T.TEST(O14:T14,O15:T15,2,3)</f>
        <v>1.1554061777312509E-4</v>
      </c>
    </row>
    <row r="15" spans="1:23" x14ac:dyDescent="0.3">
      <c r="A15" s="1">
        <v>14</v>
      </c>
      <c r="B15" s="1" t="s">
        <v>68</v>
      </c>
      <c r="C15" s="1">
        <v>301</v>
      </c>
      <c r="D15" s="1">
        <v>1</v>
      </c>
      <c r="E15" s="1" t="s">
        <v>64</v>
      </c>
      <c r="F15" s="1">
        <v>191151202</v>
      </c>
      <c r="G15" s="1" t="s">
        <v>24</v>
      </c>
      <c r="H15" s="1" t="s">
        <v>15</v>
      </c>
      <c r="I15" s="1">
        <v>0.58099999999999996</v>
      </c>
      <c r="J15" s="1" t="s">
        <v>16</v>
      </c>
      <c r="K15" s="1" t="s">
        <v>66</v>
      </c>
      <c r="L15" s="1" t="s">
        <v>67</v>
      </c>
      <c r="M15" s="1" t="s">
        <v>584</v>
      </c>
      <c r="N15" s="1" t="s">
        <v>444</v>
      </c>
      <c r="O15" s="2">
        <v>1.4303090103075804</v>
      </c>
      <c r="P15" s="2">
        <v>1.7860027853675862</v>
      </c>
      <c r="Q15" s="2">
        <v>1.5721164352417993</v>
      </c>
      <c r="R15" s="2">
        <v>1.6259455785142911</v>
      </c>
      <c r="S15" s="2">
        <v>2.0186099347201023</v>
      </c>
      <c r="T15" s="2">
        <v>1.7313018134914182</v>
      </c>
      <c r="U15" s="2">
        <f t="shared" si="0"/>
        <v>1.694047592940463</v>
      </c>
      <c r="V15" s="3">
        <f t="shared" si="1"/>
        <v>0.20211258230030676</v>
      </c>
      <c r="W15" s="1" t="s">
        <v>561</v>
      </c>
    </row>
    <row r="16" spans="1:23" x14ac:dyDescent="0.3">
      <c r="A16" s="1">
        <v>15</v>
      </c>
      <c r="B16" s="1" t="s">
        <v>70</v>
      </c>
      <c r="C16" s="1">
        <v>301</v>
      </c>
      <c r="D16" s="1">
        <v>1</v>
      </c>
      <c r="E16" s="1" t="s">
        <v>71</v>
      </c>
      <c r="F16" s="1">
        <v>82899017</v>
      </c>
      <c r="G16" s="1" t="s">
        <v>72</v>
      </c>
      <c r="H16" s="1" t="s">
        <v>14</v>
      </c>
      <c r="I16" s="1">
        <v>5.3999999999999999E-2</v>
      </c>
      <c r="J16" s="1" t="s">
        <v>16</v>
      </c>
      <c r="K16" s="1" t="s">
        <v>74</v>
      </c>
      <c r="L16" s="1" t="s">
        <v>75</v>
      </c>
      <c r="M16" s="1" t="s">
        <v>585</v>
      </c>
      <c r="N16" s="1" t="s">
        <v>445</v>
      </c>
      <c r="O16" s="2">
        <v>0.79683024253623613</v>
      </c>
      <c r="P16" s="2">
        <v>0.74234369027964098</v>
      </c>
      <c r="Q16" s="2">
        <v>0.99609598780371078</v>
      </c>
      <c r="R16" s="2">
        <v>1.6153151863892075</v>
      </c>
      <c r="S16" s="2">
        <v>1.2076033365392609</v>
      </c>
      <c r="T16" s="2">
        <v>1.9065782367581112</v>
      </c>
      <c r="U16" s="2">
        <f t="shared" si="0"/>
        <v>1.2107944467176948</v>
      </c>
      <c r="V16" s="3">
        <f t="shared" si="1"/>
        <v>0.46576178381283606</v>
      </c>
      <c r="W16" s="1">
        <f>_xlfn.T.TEST(O16:T16,O17:T17,2,3)</f>
        <v>1.9699640640329353E-2</v>
      </c>
    </row>
    <row r="17" spans="1:23" x14ac:dyDescent="0.3">
      <c r="A17" s="1">
        <v>16</v>
      </c>
      <c r="B17" s="1" t="s">
        <v>76</v>
      </c>
      <c r="C17" s="1">
        <v>301</v>
      </c>
      <c r="D17" s="1">
        <v>1</v>
      </c>
      <c r="E17" s="1" t="s">
        <v>71</v>
      </c>
      <c r="F17" s="1">
        <v>82899017</v>
      </c>
      <c r="G17" s="1" t="s">
        <v>72</v>
      </c>
      <c r="H17" s="1" t="s">
        <v>14</v>
      </c>
      <c r="I17" s="1">
        <v>5.3999999999999999E-2</v>
      </c>
      <c r="J17" s="1" t="s">
        <v>16</v>
      </c>
      <c r="K17" s="1" t="s">
        <v>74</v>
      </c>
      <c r="L17" s="1" t="s">
        <v>75</v>
      </c>
      <c r="M17" s="1" t="s">
        <v>585</v>
      </c>
      <c r="N17" s="1" t="s">
        <v>446</v>
      </c>
      <c r="O17" s="2">
        <v>0.8836170519630171</v>
      </c>
      <c r="P17" s="2">
        <v>0.9815193431599496</v>
      </c>
      <c r="Q17" s="2">
        <v>0.4985276294214378</v>
      </c>
      <c r="R17" s="2">
        <v>0.22670594206734618</v>
      </c>
      <c r="S17" s="2">
        <v>0.43083382296553618</v>
      </c>
      <c r="T17" s="2">
        <v>0.35388244615390618</v>
      </c>
      <c r="U17" s="2">
        <f t="shared" si="0"/>
        <v>0.56251437262186554</v>
      </c>
      <c r="V17" s="3">
        <f t="shared" si="1"/>
        <v>0.30212604960582218</v>
      </c>
      <c r="W17" s="1" t="s">
        <v>561</v>
      </c>
    </row>
    <row r="18" spans="1:23" x14ac:dyDescent="0.3">
      <c r="A18" s="1">
        <v>17</v>
      </c>
      <c r="B18" s="1" t="s">
        <v>78</v>
      </c>
      <c r="C18" s="1">
        <v>301</v>
      </c>
      <c r="D18" s="1">
        <v>1</v>
      </c>
      <c r="E18" s="1" t="s">
        <v>79</v>
      </c>
      <c r="F18" s="1">
        <v>82900171</v>
      </c>
      <c r="G18" s="1" t="s">
        <v>72</v>
      </c>
      <c r="H18" s="1" t="s">
        <v>14</v>
      </c>
      <c r="I18" s="1">
        <v>0.159</v>
      </c>
      <c r="J18" s="1" t="s">
        <v>16</v>
      </c>
      <c r="K18" s="1" t="s">
        <v>81</v>
      </c>
      <c r="L18" s="1" t="s">
        <v>54</v>
      </c>
      <c r="M18" s="1" t="s">
        <v>585</v>
      </c>
      <c r="N18" s="1" t="s">
        <v>447</v>
      </c>
      <c r="O18" s="2">
        <v>0.50548302368737807</v>
      </c>
      <c r="P18" s="2">
        <v>0.59608191605812</v>
      </c>
      <c r="Q18" s="2">
        <v>1.2352849865158353</v>
      </c>
      <c r="R18" s="2">
        <v>0.44401587882491317</v>
      </c>
      <c r="S18" s="2">
        <v>0.648996753434953</v>
      </c>
      <c r="T18" s="2">
        <v>0.37468762293328423</v>
      </c>
      <c r="U18" s="2">
        <f t="shared" si="0"/>
        <v>0.63409169690908063</v>
      </c>
      <c r="V18" s="3">
        <f t="shared" si="1"/>
        <v>0.31082463115461778</v>
      </c>
      <c r="W18" s="1">
        <f>_xlfn.T.TEST(O18:T18,O19:T19,2,3)</f>
        <v>0.80320570459158946</v>
      </c>
    </row>
    <row r="19" spans="1:23" x14ac:dyDescent="0.3">
      <c r="A19" s="1">
        <v>18</v>
      </c>
      <c r="B19" s="1" t="s">
        <v>82</v>
      </c>
      <c r="C19" s="1">
        <v>301</v>
      </c>
      <c r="D19" s="1">
        <v>1</v>
      </c>
      <c r="E19" s="1" t="s">
        <v>79</v>
      </c>
      <c r="F19" s="1">
        <v>82900171</v>
      </c>
      <c r="G19" s="1" t="s">
        <v>72</v>
      </c>
      <c r="H19" s="1" t="s">
        <v>14</v>
      </c>
      <c r="I19" s="1">
        <v>0.159</v>
      </c>
      <c r="J19" s="1" t="s">
        <v>16</v>
      </c>
      <c r="K19" s="1" t="s">
        <v>81</v>
      </c>
      <c r="L19" s="1" t="s">
        <v>54</v>
      </c>
      <c r="M19" s="1" t="s">
        <v>585</v>
      </c>
      <c r="N19" s="1" t="s">
        <v>448</v>
      </c>
      <c r="O19" s="2">
        <v>0.3828646444042807</v>
      </c>
      <c r="P19" s="2">
        <v>0.6210397449838162</v>
      </c>
      <c r="Q19" s="2">
        <v>0.40539567187423226</v>
      </c>
      <c r="R19" s="2">
        <v>1.0236445617259402</v>
      </c>
      <c r="S19" s="2">
        <v>0.98225866580683785</v>
      </c>
      <c r="T19" s="2">
        <v>0.64951252402294679</v>
      </c>
      <c r="U19" s="2">
        <f t="shared" si="0"/>
        <v>0.6774526354696756</v>
      </c>
      <c r="V19" s="3">
        <f t="shared" si="1"/>
        <v>0.27477834918212374</v>
      </c>
      <c r="W19" s="1" t="s">
        <v>561</v>
      </c>
    </row>
    <row r="20" spans="1:23" x14ac:dyDescent="0.3">
      <c r="A20" s="1">
        <v>19</v>
      </c>
      <c r="B20" s="1" t="s">
        <v>84</v>
      </c>
      <c r="C20" s="1">
        <v>301</v>
      </c>
      <c r="D20" s="1">
        <v>1</v>
      </c>
      <c r="E20" s="1" t="s">
        <v>85</v>
      </c>
      <c r="F20" s="1">
        <v>82901181</v>
      </c>
      <c r="G20" s="1" t="s">
        <v>14</v>
      </c>
      <c r="H20" s="1" t="s">
        <v>72</v>
      </c>
      <c r="I20" s="1">
        <v>0.14599999999999999</v>
      </c>
      <c r="J20" s="1" t="s">
        <v>16</v>
      </c>
      <c r="K20" s="1" t="s">
        <v>81</v>
      </c>
      <c r="L20" s="1" t="s">
        <v>54</v>
      </c>
      <c r="M20" s="1" t="s">
        <v>585</v>
      </c>
      <c r="N20" s="1" t="s">
        <v>449</v>
      </c>
      <c r="O20" s="2">
        <v>2.2847805919343527</v>
      </c>
      <c r="P20" s="2">
        <v>1.0576966841244042</v>
      </c>
      <c r="Q20" s="2">
        <v>1.8330748488298592</v>
      </c>
      <c r="R20" s="2">
        <v>1.3513783039698177</v>
      </c>
      <c r="S20" s="2">
        <v>1.040515500962814</v>
      </c>
      <c r="T20" s="2">
        <v>1.4015950367359102</v>
      </c>
      <c r="U20" s="2">
        <f t="shared" si="0"/>
        <v>1.4948401610928599</v>
      </c>
      <c r="V20" s="3">
        <f t="shared" si="1"/>
        <v>0.48274006715632622</v>
      </c>
      <c r="W20" s="1">
        <f>_xlfn.T.TEST(O20:T20,O21:T21,2,3)</f>
        <v>0.96238022910953869</v>
      </c>
    </row>
    <row r="21" spans="1:23" x14ac:dyDescent="0.3">
      <c r="A21" s="1">
        <v>20</v>
      </c>
      <c r="B21" s="1" t="s">
        <v>87</v>
      </c>
      <c r="C21" s="1">
        <v>301</v>
      </c>
      <c r="D21" s="1">
        <v>1</v>
      </c>
      <c r="E21" s="1" t="s">
        <v>85</v>
      </c>
      <c r="F21" s="1">
        <v>82901181</v>
      </c>
      <c r="G21" s="1" t="s">
        <v>14</v>
      </c>
      <c r="H21" s="1" t="s">
        <v>72</v>
      </c>
      <c r="I21" s="1">
        <v>0.14599999999999999</v>
      </c>
      <c r="J21" s="1" t="s">
        <v>16</v>
      </c>
      <c r="K21" s="1" t="s">
        <v>81</v>
      </c>
      <c r="L21" s="1" t="s">
        <v>54</v>
      </c>
      <c r="M21" s="1" t="s">
        <v>585</v>
      </c>
      <c r="N21" s="1" t="s">
        <v>450</v>
      </c>
      <c r="O21" s="2">
        <v>0.72607306429652985</v>
      </c>
      <c r="P21" s="2">
        <v>1.0445154086629691</v>
      </c>
      <c r="Q21" s="2">
        <v>2.5642209847179065</v>
      </c>
      <c r="R21" s="2">
        <v>2.6395316626816303</v>
      </c>
      <c r="S21" s="2">
        <v>1.1374649832933716</v>
      </c>
      <c r="T21" s="2">
        <v>0.974187819626539</v>
      </c>
      <c r="U21" s="2">
        <f t="shared" si="0"/>
        <v>1.5143323205464911</v>
      </c>
      <c r="V21" s="3">
        <f t="shared" si="1"/>
        <v>0.85372190134900716</v>
      </c>
      <c r="W21" s="1" t="s">
        <v>561</v>
      </c>
    </row>
    <row r="22" spans="1:23" x14ac:dyDescent="0.3">
      <c r="A22" s="1">
        <v>21</v>
      </c>
      <c r="B22" s="1" t="s">
        <v>89</v>
      </c>
      <c r="C22" s="1">
        <v>301</v>
      </c>
      <c r="D22" s="1">
        <v>1</v>
      </c>
      <c r="E22" s="1" t="s">
        <v>90</v>
      </c>
      <c r="F22" s="1">
        <v>82989881</v>
      </c>
      <c r="G22" s="1" t="s">
        <v>72</v>
      </c>
      <c r="H22" s="1" t="s">
        <v>24</v>
      </c>
      <c r="I22" s="1">
        <v>5.0999999999999997E-2</v>
      </c>
      <c r="J22" s="1" t="s">
        <v>16</v>
      </c>
      <c r="K22" s="1" t="s">
        <v>92</v>
      </c>
      <c r="L22" s="1" t="s">
        <v>54</v>
      </c>
      <c r="M22" s="1" t="s">
        <v>585</v>
      </c>
      <c r="N22" s="1" t="s">
        <v>451</v>
      </c>
      <c r="O22" s="2">
        <v>2.4756535276092042</v>
      </c>
      <c r="P22" s="2">
        <v>1.0787151040800911</v>
      </c>
      <c r="Q22" s="2">
        <v>1.0199962676145427</v>
      </c>
      <c r="R22" s="2">
        <v>1.6947445030229495</v>
      </c>
      <c r="S22" s="2">
        <v>1.6079928605205338</v>
      </c>
      <c r="T22" s="2">
        <v>0.96727868615401025</v>
      </c>
      <c r="U22" s="2">
        <f t="shared" si="0"/>
        <v>1.474063491500222</v>
      </c>
      <c r="V22" s="3">
        <f t="shared" si="1"/>
        <v>0.58122766887656163</v>
      </c>
      <c r="W22" s="1">
        <f>_xlfn.T.TEST(O22:T22,O23:T23,2,3)</f>
        <v>0.18855865008392539</v>
      </c>
    </row>
    <row r="23" spans="1:23" x14ac:dyDescent="0.3">
      <c r="A23" s="1">
        <v>22</v>
      </c>
      <c r="B23" s="1" t="s">
        <v>93</v>
      </c>
      <c r="C23" s="1">
        <v>301</v>
      </c>
      <c r="D23" s="1">
        <v>1</v>
      </c>
      <c r="E23" s="1" t="s">
        <v>90</v>
      </c>
      <c r="F23" s="1">
        <v>82989881</v>
      </c>
      <c r="G23" s="1" t="s">
        <v>72</v>
      </c>
      <c r="H23" s="1" t="s">
        <v>24</v>
      </c>
      <c r="I23" s="1">
        <v>5.0999999999999997E-2</v>
      </c>
      <c r="J23" s="1" t="s">
        <v>16</v>
      </c>
      <c r="K23" s="1" t="s">
        <v>92</v>
      </c>
      <c r="L23" s="1" t="s">
        <v>54</v>
      </c>
      <c r="M23" s="1" t="s">
        <v>585</v>
      </c>
      <c r="N23" s="1" t="s">
        <v>452</v>
      </c>
      <c r="O23" s="2">
        <v>1.0430074814884909</v>
      </c>
      <c r="P23" s="2">
        <v>0.97522605559377118</v>
      </c>
      <c r="Q23" s="2">
        <v>1.3125282845276571</v>
      </c>
      <c r="R23" s="2">
        <v>1.2785317287283207</v>
      </c>
      <c r="S23" s="2">
        <v>0.69065839767823245</v>
      </c>
      <c r="T23" s="2">
        <v>1.2848021904639582</v>
      </c>
      <c r="U23" s="2">
        <f t="shared" si="0"/>
        <v>1.0974590230800718</v>
      </c>
      <c r="V23" s="3">
        <f t="shared" si="1"/>
        <v>0.24393941537412439</v>
      </c>
      <c r="W23" s="1" t="s">
        <v>561</v>
      </c>
    </row>
    <row r="24" spans="1:23" x14ac:dyDescent="0.3">
      <c r="A24" s="1">
        <v>23</v>
      </c>
      <c r="B24" s="1" t="s">
        <v>95</v>
      </c>
      <c r="C24" s="1">
        <v>301</v>
      </c>
      <c r="D24" s="1">
        <v>1</v>
      </c>
      <c r="E24" s="1" t="s">
        <v>96</v>
      </c>
      <c r="F24" s="1">
        <v>83010534</v>
      </c>
      <c r="G24" s="1" t="s">
        <v>72</v>
      </c>
      <c r="H24" s="1" t="s">
        <v>14</v>
      </c>
      <c r="I24" s="1">
        <v>0.28499999999999998</v>
      </c>
      <c r="J24" s="1" t="s">
        <v>16</v>
      </c>
      <c r="K24" s="1" t="s">
        <v>81</v>
      </c>
      <c r="L24" s="1" t="s">
        <v>54</v>
      </c>
      <c r="M24" s="1" t="s">
        <v>585</v>
      </c>
      <c r="N24" s="1" t="s">
        <v>453</v>
      </c>
      <c r="O24" s="2">
        <v>0.98689542719916679</v>
      </c>
      <c r="P24" s="2">
        <v>0.66768933136257003</v>
      </c>
      <c r="Q24" s="2">
        <v>0.62277292904027726</v>
      </c>
      <c r="R24" s="2">
        <v>0.85129532797721985</v>
      </c>
      <c r="S24" s="2">
        <v>1.0079534235326064</v>
      </c>
      <c r="T24" s="2">
        <v>0.90275729397221249</v>
      </c>
      <c r="U24" s="2">
        <f t="shared" si="0"/>
        <v>0.83989395551400881</v>
      </c>
      <c r="V24" s="3">
        <f t="shared" si="1"/>
        <v>0.16169797821902204</v>
      </c>
      <c r="W24" s="1">
        <f>_xlfn.T.TEST(O24:T24,O25:T25,2,3)</f>
        <v>7.7285735246603926E-2</v>
      </c>
    </row>
    <row r="25" spans="1:23" x14ac:dyDescent="0.3">
      <c r="A25" s="1">
        <v>24</v>
      </c>
      <c r="B25" s="1" t="s">
        <v>98</v>
      </c>
      <c r="C25" s="1">
        <v>301</v>
      </c>
      <c r="D25" s="1">
        <v>1</v>
      </c>
      <c r="E25" s="1" t="s">
        <v>96</v>
      </c>
      <c r="F25" s="1">
        <v>83010534</v>
      </c>
      <c r="G25" s="1" t="s">
        <v>72</v>
      </c>
      <c r="H25" s="1" t="s">
        <v>14</v>
      </c>
      <c r="I25" s="1">
        <v>0.28499999999999998</v>
      </c>
      <c r="J25" s="1" t="s">
        <v>16</v>
      </c>
      <c r="K25" s="1" t="s">
        <v>81</v>
      </c>
      <c r="L25" s="1" t="s">
        <v>54</v>
      </c>
      <c r="M25" s="1" t="s">
        <v>585</v>
      </c>
      <c r="N25" s="1" t="s">
        <v>454</v>
      </c>
      <c r="O25" s="2">
        <v>1.5536000842743187</v>
      </c>
      <c r="P25" s="2">
        <v>1.0872335855520774</v>
      </c>
      <c r="Q25" s="2">
        <v>1.4567948251999439</v>
      </c>
      <c r="R25" s="2">
        <v>0.5959999985393396</v>
      </c>
      <c r="S25" s="2">
        <v>2.0285858585434573</v>
      </c>
      <c r="T25" s="2">
        <v>1.0343527556318433</v>
      </c>
      <c r="U25" s="2">
        <f t="shared" si="0"/>
        <v>1.2927611846234968</v>
      </c>
      <c r="V25" s="3">
        <f t="shared" si="1"/>
        <v>0.49616017134563095</v>
      </c>
      <c r="W25" s="1" t="s">
        <v>561</v>
      </c>
    </row>
    <row r="26" spans="1:23" x14ac:dyDescent="0.3">
      <c r="A26" s="1">
        <v>25</v>
      </c>
      <c r="B26" s="1" t="s">
        <v>100</v>
      </c>
      <c r="C26" s="1">
        <v>301</v>
      </c>
      <c r="D26" s="1">
        <v>1</v>
      </c>
      <c r="E26" s="1" t="s">
        <v>101</v>
      </c>
      <c r="F26" s="1">
        <v>132454724</v>
      </c>
      <c r="G26" s="1" t="s">
        <v>15</v>
      </c>
      <c r="H26" s="1" t="s">
        <v>24</v>
      </c>
      <c r="I26" s="1">
        <v>0.14199999999999999</v>
      </c>
      <c r="J26" s="1" t="s">
        <v>44</v>
      </c>
      <c r="K26" s="1" t="s">
        <v>103</v>
      </c>
      <c r="L26" s="1" t="s">
        <v>39</v>
      </c>
      <c r="M26" s="1" t="s">
        <v>586</v>
      </c>
      <c r="N26" s="1" t="s">
        <v>455</v>
      </c>
      <c r="O26" s="2">
        <v>0.61520753903324688</v>
      </c>
      <c r="P26" s="2">
        <v>0.74337577633183993</v>
      </c>
      <c r="Q26" s="2">
        <v>0.71886888260661441</v>
      </c>
      <c r="R26" s="2">
        <v>2.0283513993201971</v>
      </c>
      <c r="S26" s="2">
        <v>0.84189070831923118</v>
      </c>
      <c r="T26" s="2">
        <v>0.91700155113312576</v>
      </c>
      <c r="U26" s="2">
        <f t="shared" si="0"/>
        <v>0.97744930945737585</v>
      </c>
      <c r="V26" s="3">
        <f t="shared" si="1"/>
        <v>0.5252234999706703</v>
      </c>
      <c r="W26" s="1">
        <f>_xlfn.T.TEST(O26:T26,O27:T27,2,3)</f>
        <v>0.17865693941341868</v>
      </c>
    </row>
    <row r="27" spans="1:23" x14ac:dyDescent="0.3">
      <c r="A27" s="1">
        <v>26</v>
      </c>
      <c r="B27" s="1" t="s">
        <v>104</v>
      </c>
      <c r="C27" s="1">
        <v>301</v>
      </c>
      <c r="D27" s="1">
        <v>1</v>
      </c>
      <c r="E27" s="1" t="s">
        <v>101</v>
      </c>
      <c r="F27" s="1">
        <v>132454724</v>
      </c>
      <c r="G27" s="1" t="s">
        <v>15</v>
      </c>
      <c r="H27" s="1" t="s">
        <v>24</v>
      </c>
      <c r="I27" s="1">
        <v>0.14199999999999999</v>
      </c>
      <c r="J27" s="1" t="s">
        <v>44</v>
      </c>
      <c r="K27" s="1" t="s">
        <v>103</v>
      </c>
      <c r="L27" s="1" t="s">
        <v>39</v>
      </c>
      <c r="M27" s="1" t="s">
        <v>586</v>
      </c>
      <c r="N27" s="1" t="s">
        <v>456</v>
      </c>
      <c r="O27" s="2">
        <v>0.69676914458689698</v>
      </c>
      <c r="P27" s="2">
        <v>0.57163033835172516</v>
      </c>
      <c r="Q27" s="2">
        <v>0.63210884505064369</v>
      </c>
      <c r="R27" s="2">
        <v>0.56808430774124408</v>
      </c>
      <c r="S27" s="2">
        <v>0.88248785127567153</v>
      </c>
      <c r="T27" s="2">
        <v>0.47168627946483582</v>
      </c>
      <c r="U27" s="2">
        <f t="shared" si="0"/>
        <v>0.6371277944118362</v>
      </c>
      <c r="V27" s="3">
        <f t="shared" si="1"/>
        <v>0.14157093817415733</v>
      </c>
      <c r="W27" s="1" t="s">
        <v>561</v>
      </c>
    </row>
    <row r="28" spans="1:23" ht="15.6" x14ac:dyDescent="0.3">
      <c r="A28" s="1">
        <v>27</v>
      </c>
      <c r="B28" s="1" t="s">
        <v>106</v>
      </c>
      <c r="C28" s="1">
        <v>301</v>
      </c>
      <c r="D28" s="1">
        <v>1</v>
      </c>
      <c r="E28" s="1" t="s">
        <v>107</v>
      </c>
      <c r="F28" s="1">
        <v>132455672</v>
      </c>
      <c r="G28" s="1" t="s">
        <v>24</v>
      </c>
      <c r="H28" s="1" t="s">
        <v>15</v>
      </c>
      <c r="I28" s="1">
        <v>0.129</v>
      </c>
      <c r="J28" s="1" t="s">
        <v>44</v>
      </c>
      <c r="K28" s="1" t="s">
        <v>103</v>
      </c>
      <c r="L28" s="1" t="s">
        <v>39</v>
      </c>
      <c r="M28" s="1" t="s">
        <v>586</v>
      </c>
      <c r="N28" s="1" t="s">
        <v>457</v>
      </c>
      <c r="O28" s="4">
        <v>0.64224250378113745</v>
      </c>
      <c r="P28" s="4">
        <v>0.94547055114218692</v>
      </c>
      <c r="Q28" s="4">
        <v>0.49775110211817797</v>
      </c>
      <c r="R28" s="4">
        <v>0.81422826112964164</v>
      </c>
      <c r="S28" s="4">
        <v>1.1681837108161035</v>
      </c>
      <c r="T28" s="4">
        <v>0.69572708778700332</v>
      </c>
      <c r="U28" s="2">
        <f t="shared" si="0"/>
        <v>0.7939338694623751</v>
      </c>
      <c r="V28" s="3">
        <f t="shared" si="1"/>
        <v>0.23825081155870328</v>
      </c>
      <c r="W28" s="1">
        <f>_xlfn.T.TEST(O28:T28,O29:T29,2,3)</f>
        <v>0.87225492940786986</v>
      </c>
    </row>
    <row r="29" spans="1:23" ht="15.6" x14ac:dyDescent="0.3">
      <c r="A29" s="1">
        <v>28</v>
      </c>
      <c r="B29" s="1" t="s">
        <v>109</v>
      </c>
      <c r="C29" s="1">
        <v>301</v>
      </c>
      <c r="D29" s="1">
        <v>1</v>
      </c>
      <c r="E29" s="1" t="s">
        <v>107</v>
      </c>
      <c r="F29" s="1">
        <v>132455672</v>
      </c>
      <c r="G29" s="1" t="s">
        <v>24</v>
      </c>
      <c r="H29" s="1" t="s">
        <v>15</v>
      </c>
      <c r="I29" s="1">
        <v>0.129</v>
      </c>
      <c r="J29" s="1" t="s">
        <v>44</v>
      </c>
      <c r="K29" s="1" t="s">
        <v>103</v>
      </c>
      <c r="L29" s="1" t="s">
        <v>39</v>
      </c>
      <c r="M29" s="1" t="s">
        <v>586</v>
      </c>
      <c r="N29" s="1" t="s">
        <v>458</v>
      </c>
      <c r="O29" s="4">
        <v>0.73933665308114016</v>
      </c>
      <c r="P29" s="4">
        <v>0.72026717577625976</v>
      </c>
      <c r="Q29" s="4">
        <v>0.87659650848199344</v>
      </c>
      <c r="R29" s="4">
        <v>0.88883543214268745</v>
      </c>
      <c r="S29" s="4">
        <v>0.69291863665122377</v>
      </c>
      <c r="T29" s="4">
        <v>0.95244312348293647</v>
      </c>
      <c r="U29" s="2">
        <f t="shared" si="0"/>
        <v>0.81173292160270683</v>
      </c>
      <c r="V29" s="3">
        <f t="shared" si="1"/>
        <v>0.10740156387274437</v>
      </c>
      <c r="W29" s="1" t="s">
        <v>561</v>
      </c>
    </row>
    <row r="30" spans="1:23" ht="15.6" x14ac:dyDescent="0.3">
      <c r="A30" s="1">
        <v>29</v>
      </c>
      <c r="B30" s="1" t="s">
        <v>111</v>
      </c>
      <c r="C30" s="1">
        <v>476</v>
      </c>
      <c r="D30" s="1">
        <v>2</v>
      </c>
      <c r="E30" s="1" t="s">
        <v>112</v>
      </c>
      <c r="F30" s="1" t="s">
        <v>113</v>
      </c>
      <c r="G30" s="1" t="s">
        <v>114</v>
      </c>
      <c r="H30" s="1" t="s">
        <v>115</v>
      </c>
      <c r="I30" s="1" t="s">
        <v>568</v>
      </c>
      <c r="J30" s="1" t="s">
        <v>44</v>
      </c>
      <c r="K30" s="1" t="s">
        <v>117</v>
      </c>
      <c r="L30" s="1" t="s">
        <v>118</v>
      </c>
      <c r="M30" s="1" t="s">
        <v>586</v>
      </c>
      <c r="N30" s="1" t="s">
        <v>459</v>
      </c>
      <c r="O30" s="4">
        <v>0.87554504963014845</v>
      </c>
      <c r="P30" s="4">
        <v>0.54232552038777815</v>
      </c>
      <c r="Q30" s="4">
        <v>1.2734566009316897</v>
      </c>
      <c r="R30" s="4">
        <v>1.0711855762682105</v>
      </c>
      <c r="S30" s="4">
        <v>0.92546874294408232</v>
      </c>
      <c r="T30" s="4">
        <v>0.85694846101456845</v>
      </c>
      <c r="U30" s="2">
        <f t="shared" si="0"/>
        <v>0.92415499186274641</v>
      </c>
      <c r="V30" s="3">
        <f t="shared" si="1"/>
        <v>0.2434357091102386</v>
      </c>
      <c r="W30" s="1">
        <f>_xlfn.T.TEST(O30:T30,O31:T31,2,3)</f>
        <v>0.80813754665382509</v>
      </c>
    </row>
    <row r="31" spans="1:23" ht="15.6" x14ac:dyDescent="0.3">
      <c r="A31" s="1">
        <v>30</v>
      </c>
      <c r="B31" s="1" t="s">
        <v>119</v>
      </c>
      <c r="C31" s="1">
        <v>476</v>
      </c>
      <c r="D31" s="1">
        <v>2</v>
      </c>
      <c r="E31" s="1" t="s">
        <v>112</v>
      </c>
      <c r="F31" s="1" t="s">
        <v>113</v>
      </c>
      <c r="G31" s="1" t="s">
        <v>114</v>
      </c>
      <c r="H31" s="1" t="s">
        <v>115</v>
      </c>
      <c r="I31" s="1" t="s">
        <v>568</v>
      </c>
      <c r="J31" s="1" t="s">
        <v>44</v>
      </c>
      <c r="K31" s="1" t="s">
        <v>117</v>
      </c>
      <c r="L31" s="1" t="s">
        <v>118</v>
      </c>
      <c r="M31" s="1" t="s">
        <v>586</v>
      </c>
      <c r="N31" s="1" t="s">
        <v>460</v>
      </c>
      <c r="O31" s="4">
        <v>1.0094450753444233</v>
      </c>
      <c r="P31" s="4">
        <v>0.69969221599215758</v>
      </c>
      <c r="Q31" s="4">
        <v>0.98444926234980801</v>
      </c>
      <c r="R31" s="4">
        <v>1.0544700043425408</v>
      </c>
      <c r="S31" s="4">
        <v>0.99804272720772513</v>
      </c>
      <c r="T31" s="4">
        <v>0.96804152423457346</v>
      </c>
      <c r="U31" s="2">
        <f t="shared" si="0"/>
        <v>0.95235680157853808</v>
      </c>
      <c r="V31" s="3">
        <f t="shared" si="1"/>
        <v>0.12719175315528652</v>
      </c>
      <c r="W31" s="1" t="s">
        <v>561</v>
      </c>
    </row>
    <row r="32" spans="1:23" ht="15.6" x14ac:dyDescent="0.3">
      <c r="A32" s="1">
        <v>31</v>
      </c>
      <c r="B32" s="1" t="s">
        <v>121</v>
      </c>
      <c r="C32" s="1">
        <v>301</v>
      </c>
      <c r="D32" s="1">
        <v>1</v>
      </c>
      <c r="E32" s="1" t="s">
        <v>122</v>
      </c>
      <c r="F32" s="1">
        <v>132464907</v>
      </c>
      <c r="G32" s="1" t="s">
        <v>14</v>
      </c>
      <c r="H32" s="1" t="s">
        <v>15</v>
      </c>
      <c r="I32" s="1">
        <v>0.24299999999999999</v>
      </c>
      <c r="J32" s="1" t="s">
        <v>44</v>
      </c>
      <c r="K32" s="1" t="s">
        <v>117</v>
      </c>
      <c r="L32" s="1" t="s">
        <v>118</v>
      </c>
      <c r="M32" s="1" t="s">
        <v>586</v>
      </c>
      <c r="N32" s="1" t="s">
        <v>461</v>
      </c>
      <c r="O32" s="4">
        <v>0.48282853020661459</v>
      </c>
      <c r="P32" s="4">
        <v>0.52986270080691911</v>
      </c>
      <c r="Q32" s="4">
        <v>0.25666324053031042</v>
      </c>
      <c r="R32" s="4">
        <v>0.30291480791812425</v>
      </c>
      <c r="S32" s="4">
        <v>0.64175220523679533</v>
      </c>
      <c r="T32" s="4">
        <v>0.33127897199205264</v>
      </c>
      <c r="U32" s="2">
        <f t="shared" si="0"/>
        <v>0.42421674278180271</v>
      </c>
      <c r="V32" s="3">
        <f t="shared" si="1"/>
        <v>0.15056151716522015</v>
      </c>
      <c r="W32" s="1">
        <f>_xlfn.T.TEST(O32:T32,O33:T33,2,3)</f>
        <v>0.19853652324603219</v>
      </c>
    </row>
    <row r="33" spans="1:23" ht="15.6" x14ac:dyDescent="0.3">
      <c r="A33" s="1">
        <v>32</v>
      </c>
      <c r="B33" s="1" t="s">
        <v>124</v>
      </c>
      <c r="C33" s="1">
        <v>301</v>
      </c>
      <c r="D33" s="1">
        <v>1</v>
      </c>
      <c r="E33" s="1" t="s">
        <v>122</v>
      </c>
      <c r="F33" s="1">
        <v>132464907</v>
      </c>
      <c r="G33" s="1" t="s">
        <v>14</v>
      </c>
      <c r="H33" s="1" t="s">
        <v>15</v>
      </c>
      <c r="I33" s="1">
        <v>0.24299999999999999</v>
      </c>
      <c r="J33" s="1" t="s">
        <v>44</v>
      </c>
      <c r="K33" s="1" t="s">
        <v>117</v>
      </c>
      <c r="L33" s="1" t="s">
        <v>118</v>
      </c>
      <c r="M33" s="1" t="s">
        <v>586</v>
      </c>
      <c r="N33" s="1" t="s">
        <v>462</v>
      </c>
      <c r="O33" s="4">
        <v>0.58429685152353694</v>
      </c>
      <c r="P33" s="4">
        <v>0.35139530930786139</v>
      </c>
      <c r="Q33" s="4">
        <v>0.32996876605738207</v>
      </c>
      <c r="R33" s="4">
        <v>1.5293460308110705</v>
      </c>
      <c r="S33" s="4">
        <v>0.55398688388820583</v>
      </c>
      <c r="T33" s="4">
        <v>0.8705508175386093</v>
      </c>
      <c r="U33" s="2">
        <f t="shared" si="0"/>
        <v>0.70325744318777772</v>
      </c>
      <c r="V33" s="3">
        <f t="shared" si="1"/>
        <v>0.44944279895847383</v>
      </c>
      <c r="W33" s="1" t="s">
        <v>561</v>
      </c>
    </row>
    <row r="34" spans="1:23" ht="15.6" x14ac:dyDescent="0.3">
      <c r="A34" s="1">
        <v>33</v>
      </c>
      <c r="B34" s="1" t="s">
        <v>126</v>
      </c>
      <c r="C34" s="1">
        <v>301</v>
      </c>
      <c r="D34" s="1">
        <v>1</v>
      </c>
      <c r="E34" s="1" t="s">
        <v>127</v>
      </c>
      <c r="F34" s="1">
        <v>2970425</v>
      </c>
      <c r="G34" s="1" t="s">
        <v>72</v>
      </c>
      <c r="H34" s="1" t="s">
        <v>14</v>
      </c>
      <c r="I34" s="1">
        <v>0.39300000000000002</v>
      </c>
      <c r="J34" s="1" t="s">
        <v>16</v>
      </c>
      <c r="K34" s="1" t="s">
        <v>129</v>
      </c>
      <c r="L34" s="1" t="s">
        <v>75</v>
      </c>
      <c r="M34" s="1" t="s">
        <v>587</v>
      </c>
      <c r="N34" s="1" t="s">
        <v>463</v>
      </c>
      <c r="O34" s="4">
        <v>0.77436388195130834</v>
      </c>
      <c r="P34" s="4">
        <v>0.73316332242144433</v>
      </c>
      <c r="Q34" s="4">
        <v>0.95342612186305664</v>
      </c>
      <c r="R34" s="4">
        <v>1.9283340719375444</v>
      </c>
      <c r="S34" s="4">
        <v>1.2792117535823746</v>
      </c>
      <c r="T34" s="4">
        <v>0.5501397527500933</v>
      </c>
      <c r="U34" s="2">
        <f t="shared" si="0"/>
        <v>1.0364398174176368</v>
      </c>
      <c r="V34" s="3">
        <f t="shared" si="1"/>
        <v>0.50168775730484205</v>
      </c>
      <c r="W34" s="1">
        <f>_xlfn.T.TEST(O34:T34,O35:T35,2,3)</f>
        <v>0.68035635339184042</v>
      </c>
    </row>
    <row r="35" spans="1:23" ht="15.6" x14ac:dyDescent="0.3">
      <c r="A35" s="1">
        <v>34</v>
      </c>
      <c r="B35" s="1" t="s">
        <v>130</v>
      </c>
      <c r="C35" s="1">
        <v>301</v>
      </c>
      <c r="D35" s="1">
        <v>1</v>
      </c>
      <c r="E35" s="1" t="s">
        <v>127</v>
      </c>
      <c r="F35" s="1">
        <v>2970425</v>
      </c>
      <c r="G35" s="1" t="s">
        <v>72</v>
      </c>
      <c r="H35" s="1" t="s">
        <v>14</v>
      </c>
      <c r="I35" s="1">
        <v>0.39300000000000002</v>
      </c>
      <c r="J35" s="1" t="s">
        <v>16</v>
      </c>
      <c r="K35" s="1" t="s">
        <v>129</v>
      </c>
      <c r="L35" s="1" t="s">
        <v>75</v>
      </c>
      <c r="M35" s="1" t="s">
        <v>587</v>
      </c>
      <c r="N35" s="1" t="s">
        <v>464</v>
      </c>
      <c r="O35" s="4">
        <v>0.78024434108497298</v>
      </c>
      <c r="P35" s="4">
        <v>0.7041398326872973</v>
      </c>
      <c r="Q35" s="4">
        <v>1.4544259008979661</v>
      </c>
      <c r="R35" s="4">
        <v>0.6913465217652488</v>
      </c>
      <c r="S35" s="4">
        <v>0.82392852075445477</v>
      </c>
      <c r="T35" s="4">
        <v>1.1505568974312672</v>
      </c>
      <c r="U35" s="2">
        <f t="shared" si="0"/>
        <v>0.93410700243686795</v>
      </c>
      <c r="V35" s="3">
        <f t="shared" si="1"/>
        <v>0.30502881164294288</v>
      </c>
      <c r="W35" s="1" t="s">
        <v>561</v>
      </c>
    </row>
    <row r="36" spans="1:23" ht="15.6" x14ac:dyDescent="0.3">
      <c r="A36" s="1">
        <v>35</v>
      </c>
      <c r="B36" s="1" t="s">
        <v>132</v>
      </c>
      <c r="C36" s="1">
        <v>301</v>
      </c>
      <c r="D36" s="1">
        <v>1</v>
      </c>
      <c r="E36" s="1" t="s">
        <v>133</v>
      </c>
      <c r="F36" s="1">
        <v>2971886</v>
      </c>
      <c r="G36" s="1" t="s">
        <v>14</v>
      </c>
      <c r="H36" s="1" t="s">
        <v>72</v>
      </c>
      <c r="I36" s="1">
        <v>0.36899999999999999</v>
      </c>
      <c r="J36" s="1" t="s">
        <v>16</v>
      </c>
      <c r="K36" s="1" t="s">
        <v>129</v>
      </c>
      <c r="L36" s="1" t="s">
        <v>75</v>
      </c>
      <c r="M36" s="1" t="s">
        <v>587</v>
      </c>
      <c r="N36" s="1" t="s">
        <v>465</v>
      </c>
      <c r="O36" s="4">
        <v>0.81615609353712293</v>
      </c>
      <c r="P36" s="4">
        <v>1.001621494140194</v>
      </c>
      <c r="Q36" s="4">
        <v>1.2621109976853078</v>
      </c>
      <c r="R36" s="4">
        <v>5.2795080486716479</v>
      </c>
      <c r="S36" s="4">
        <v>2.1763770438465233</v>
      </c>
      <c r="T36" s="4">
        <v>2.217858181912213</v>
      </c>
      <c r="U36" s="2">
        <f t="shared" si="0"/>
        <v>2.1256053099655015</v>
      </c>
      <c r="V36" s="3">
        <f t="shared" si="1"/>
        <v>1.6541952812497189</v>
      </c>
      <c r="W36" s="1">
        <f>_xlfn.T.TEST(O36:T36,O37:T37,2,3)</f>
        <v>0.9091764085864068</v>
      </c>
    </row>
    <row r="37" spans="1:23" ht="15.6" x14ac:dyDescent="0.3">
      <c r="A37" s="1">
        <v>36</v>
      </c>
      <c r="B37" s="1" t="s">
        <v>135</v>
      </c>
      <c r="C37" s="1">
        <v>301</v>
      </c>
      <c r="D37" s="1">
        <v>1</v>
      </c>
      <c r="E37" s="1" t="s">
        <v>133</v>
      </c>
      <c r="F37" s="1">
        <v>2971886</v>
      </c>
      <c r="G37" s="1" t="s">
        <v>14</v>
      </c>
      <c r="H37" s="1" t="s">
        <v>72</v>
      </c>
      <c r="I37" s="1">
        <v>0.36899999999999999</v>
      </c>
      <c r="J37" s="1" t="s">
        <v>16</v>
      </c>
      <c r="K37" s="1" t="s">
        <v>129</v>
      </c>
      <c r="L37" s="1" t="s">
        <v>75</v>
      </c>
      <c r="M37" s="1" t="s">
        <v>587</v>
      </c>
      <c r="N37" s="1" t="s">
        <v>466</v>
      </c>
      <c r="O37" s="4">
        <v>0.61210795814917796</v>
      </c>
      <c r="P37" s="4">
        <v>0.9328225190730367</v>
      </c>
      <c r="Q37" s="4">
        <v>3.5795833454007049</v>
      </c>
      <c r="R37" s="4">
        <v>1.3911950110786493</v>
      </c>
      <c r="S37" s="4">
        <v>5.1715890150808468</v>
      </c>
      <c r="T37" s="4">
        <v>1.7611142975493705</v>
      </c>
      <c r="U37" s="2">
        <f t="shared" si="0"/>
        <v>2.241402024388631</v>
      </c>
      <c r="V37" s="3">
        <f t="shared" si="1"/>
        <v>1.7718483451117668</v>
      </c>
      <c r="W37" s="1" t="s">
        <v>561</v>
      </c>
    </row>
    <row r="38" spans="1:23" ht="15.6" x14ac:dyDescent="0.3">
      <c r="A38" s="1">
        <v>37</v>
      </c>
      <c r="B38" s="1" t="s">
        <v>137</v>
      </c>
      <c r="C38" s="1">
        <v>301</v>
      </c>
      <c r="D38" s="1">
        <v>1</v>
      </c>
      <c r="E38" s="1" t="s">
        <v>138</v>
      </c>
      <c r="F38" s="1">
        <v>36963038</v>
      </c>
      <c r="G38" s="1" t="s">
        <v>24</v>
      </c>
      <c r="H38" s="1" t="s">
        <v>15</v>
      </c>
      <c r="I38" s="1">
        <v>0.106</v>
      </c>
      <c r="J38" s="1" t="s">
        <v>16</v>
      </c>
      <c r="K38" s="1" t="s">
        <v>140</v>
      </c>
      <c r="L38" s="1" t="s">
        <v>75</v>
      </c>
      <c r="M38" s="1" t="s">
        <v>588</v>
      </c>
      <c r="N38" s="1" t="s">
        <v>467</v>
      </c>
      <c r="O38" s="4">
        <v>3.9545746503509713</v>
      </c>
      <c r="P38" s="4">
        <v>4.1038486229592577</v>
      </c>
      <c r="Q38" s="4">
        <v>4.2737094357897822</v>
      </c>
      <c r="R38" s="4">
        <v>6.5452524429754702</v>
      </c>
      <c r="S38" s="4">
        <v>9.0087913355688265</v>
      </c>
      <c r="T38" s="4">
        <v>8.2573037940790854</v>
      </c>
      <c r="U38" s="2">
        <f t="shared" si="0"/>
        <v>6.0239133802872331</v>
      </c>
      <c r="V38" s="3">
        <f t="shared" si="1"/>
        <v>2.2450545145055854</v>
      </c>
      <c r="W38" s="1">
        <f>_xlfn.T.TEST(O38:T38,O39:T39,2,3)</f>
        <v>0.41648120554214585</v>
      </c>
    </row>
    <row r="39" spans="1:23" ht="15.6" x14ac:dyDescent="0.3">
      <c r="A39" s="1">
        <v>38</v>
      </c>
      <c r="B39" s="1" t="s">
        <v>141</v>
      </c>
      <c r="C39" s="1">
        <v>301</v>
      </c>
      <c r="D39" s="1">
        <v>1</v>
      </c>
      <c r="E39" s="1" t="s">
        <v>138</v>
      </c>
      <c r="F39" s="1">
        <v>36963038</v>
      </c>
      <c r="G39" s="1" t="s">
        <v>24</v>
      </c>
      <c r="H39" s="1" t="s">
        <v>15</v>
      </c>
      <c r="I39" s="1">
        <v>0.106</v>
      </c>
      <c r="J39" s="1" t="s">
        <v>16</v>
      </c>
      <c r="K39" s="1" t="s">
        <v>140</v>
      </c>
      <c r="L39" s="1" t="s">
        <v>75</v>
      </c>
      <c r="M39" s="1" t="s">
        <v>588</v>
      </c>
      <c r="N39" s="1" t="s">
        <v>468</v>
      </c>
      <c r="O39" s="4">
        <v>5.1056248149825825</v>
      </c>
      <c r="P39" s="4">
        <v>4.7177754321858503</v>
      </c>
      <c r="Q39" s="4">
        <v>4.1645182929795412</v>
      </c>
      <c r="R39" s="4">
        <v>12.521696350382387</v>
      </c>
      <c r="S39" s="4">
        <v>8.9484295310773891</v>
      </c>
      <c r="T39" s="4">
        <v>9.0026673486805215</v>
      </c>
      <c r="U39" s="2">
        <f t="shared" si="0"/>
        <v>7.4101186283813787</v>
      </c>
      <c r="V39" s="3">
        <f t="shared" si="1"/>
        <v>3.2901113606439241</v>
      </c>
      <c r="W39" s="1" t="s">
        <v>561</v>
      </c>
    </row>
    <row r="40" spans="1:23" ht="15.6" x14ac:dyDescent="0.3">
      <c r="A40" s="1">
        <v>39</v>
      </c>
      <c r="B40" s="1" t="s">
        <v>143</v>
      </c>
      <c r="C40" s="1">
        <v>301</v>
      </c>
      <c r="D40" s="1">
        <v>1</v>
      </c>
      <c r="E40" s="1" t="s">
        <v>144</v>
      </c>
      <c r="F40" s="1">
        <v>135114363</v>
      </c>
      <c r="G40" s="1" t="s">
        <v>24</v>
      </c>
      <c r="H40" s="1" t="s">
        <v>15</v>
      </c>
      <c r="I40" s="1">
        <v>0.83299999999999996</v>
      </c>
      <c r="J40" s="1" t="s">
        <v>44</v>
      </c>
      <c r="K40" s="1" t="s">
        <v>146</v>
      </c>
      <c r="L40" s="1" t="s">
        <v>147</v>
      </c>
      <c r="M40" s="1" t="s">
        <v>589</v>
      </c>
      <c r="N40" s="1" t="s">
        <v>469</v>
      </c>
      <c r="O40" s="4">
        <v>0.94246141150515483</v>
      </c>
      <c r="P40" s="4">
        <v>0.72070044405786549</v>
      </c>
      <c r="Q40" s="4">
        <v>1.705143304930876</v>
      </c>
      <c r="R40" s="4">
        <v>1.1831675699714266</v>
      </c>
      <c r="S40" s="4">
        <v>1.6840346791717313</v>
      </c>
      <c r="T40" s="4">
        <v>2.5362113327379094</v>
      </c>
      <c r="U40" s="2">
        <f t="shared" si="0"/>
        <v>1.4619531237291605</v>
      </c>
      <c r="V40" s="3">
        <f t="shared" si="1"/>
        <v>0.6571972215852272</v>
      </c>
      <c r="W40" s="1">
        <f>_xlfn.T.TEST(O40:T40,O41:T41,2,3)</f>
        <v>0.20726755228169666</v>
      </c>
    </row>
    <row r="41" spans="1:23" ht="15.6" x14ac:dyDescent="0.3">
      <c r="A41" s="1">
        <v>40</v>
      </c>
      <c r="B41" s="1" t="s">
        <v>148</v>
      </c>
      <c r="C41" s="1">
        <v>301</v>
      </c>
      <c r="D41" s="1">
        <v>1</v>
      </c>
      <c r="E41" s="1" t="s">
        <v>144</v>
      </c>
      <c r="F41" s="1">
        <v>135114363</v>
      </c>
      <c r="G41" s="1" t="s">
        <v>24</v>
      </c>
      <c r="H41" s="1" t="s">
        <v>15</v>
      </c>
      <c r="I41" s="1">
        <v>0.83299999999999996</v>
      </c>
      <c r="J41" s="1" t="s">
        <v>44</v>
      </c>
      <c r="K41" s="1" t="s">
        <v>146</v>
      </c>
      <c r="L41" s="1" t="s">
        <v>147</v>
      </c>
      <c r="M41" s="1" t="s">
        <v>589</v>
      </c>
      <c r="N41" s="1" t="s">
        <v>470</v>
      </c>
      <c r="O41" s="4">
        <v>1.9189429457673532</v>
      </c>
      <c r="P41" s="4">
        <v>2.6513570699786628</v>
      </c>
      <c r="Q41" s="4">
        <v>1.2363156739810308</v>
      </c>
      <c r="R41" s="4">
        <v>5.8548176504220013</v>
      </c>
      <c r="S41" s="4">
        <v>2.5275913287000629</v>
      </c>
      <c r="T41" s="4">
        <v>1.0227101294866183</v>
      </c>
      <c r="U41" s="2">
        <f t="shared" si="0"/>
        <v>2.5352891330559548</v>
      </c>
      <c r="V41" s="3">
        <f t="shared" si="1"/>
        <v>1.7543038797075547</v>
      </c>
      <c r="W41" s="1" t="s">
        <v>561</v>
      </c>
    </row>
    <row r="42" spans="1:23" ht="15.6" x14ac:dyDescent="0.3">
      <c r="A42" s="1">
        <v>41</v>
      </c>
      <c r="B42" s="1" t="s">
        <v>150</v>
      </c>
      <c r="C42" s="1">
        <v>301</v>
      </c>
      <c r="D42" s="1">
        <v>1</v>
      </c>
      <c r="E42" s="1" t="s">
        <v>151</v>
      </c>
      <c r="F42" s="1">
        <v>26397809</v>
      </c>
      <c r="G42" s="1" t="s">
        <v>24</v>
      </c>
      <c r="H42" s="1" t="s">
        <v>15</v>
      </c>
      <c r="I42" s="1">
        <v>0.20899999999999999</v>
      </c>
      <c r="J42" s="1" t="s">
        <v>25</v>
      </c>
      <c r="K42" s="1" t="s">
        <v>153</v>
      </c>
      <c r="L42" s="1" t="s">
        <v>75</v>
      </c>
      <c r="M42" s="1" t="s">
        <v>590</v>
      </c>
      <c r="N42" s="1" t="s">
        <v>471</v>
      </c>
      <c r="O42" s="4">
        <v>0.73139705743726491</v>
      </c>
      <c r="P42" s="4">
        <v>0.61514514505571805</v>
      </c>
      <c r="Q42" s="4">
        <v>0.78455091335567073</v>
      </c>
      <c r="R42" s="4">
        <v>0.73064086471990419</v>
      </c>
      <c r="S42" s="4">
        <v>0.80807109379181907</v>
      </c>
      <c r="T42" s="4">
        <v>1.2230177339079</v>
      </c>
      <c r="U42" s="2">
        <f t="shared" si="0"/>
        <v>0.81547046804471279</v>
      </c>
      <c r="V42" s="3">
        <f t="shared" si="1"/>
        <v>0.21047573661404337</v>
      </c>
      <c r="W42" s="1">
        <f>_xlfn.T.TEST(O42:T42,O43:T43,2,3)</f>
        <v>0.94387393541105991</v>
      </c>
    </row>
    <row r="43" spans="1:23" ht="15.6" x14ac:dyDescent="0.3">
      <c r="A43" s="1">
        <v>42</v>
      </c>
      <c r="B43" s="1" t="s">
        <v>154</v>
      </c>
      <c r="C43" s="1">
        <v>301</v>
      </c>
      <c r="D43" s="1">
        <v>1</v>
      </c>
      <c r="E43" s="1" t="s">
        <v>151</v>
      </c>
      <c r="F43" s="1">
        <v>26397809</v>
      </c>
      <c r="G43" s="1" t="s">
        <v>24</v>
      </c>
      <c r="H43" s="1" t="s">
        <v>15</v>
      </c>
      <c r="I43" s="1">
        <v>0.20899999999999999</v>
      </c>
      <c r="J43" s="1" t="s">
        <v>25</v>
      </c>
      <c r="K43" s="1" t="s">
        <v>153</v>
      </c>
      <c r="L43" s="1" t="s">
        <v>75</v>
      </c>
      <c r="M43" s="1" t="s">
        <v>590</v>
      </c>
      <c r="N43" s="1" t="s">
        <v>472</v>
      </c>
      <c r="O43" s="4">
        <v>0.65942422835631342</v>
      </c>
      <c r="P43" s="4">
        <v>0.85516557574922025</v>
      </c>
      <c r="Q43" s="4">
        <v>0.66221983802524353</v>
      </c>
      <c r="R43" s="4">
        <v>1.127862061785047</v>
      </c>
      <c r="S43" s="4">
        <v>0.67664622708917432</v>
      </c>
      <c r="T43" s="4">
        <v>0.96207826311017153</v>
      </c>
      <c r="U43" s="2">
        <f t="shared" si="0"/>
        <v>0.82389936568586164</v>
      </c>
      <c r="V43" s="3">
        <f t="shared" si="1"/>
        <v>0.19356659396482645</v>
      </c>
      <c r="W43" s="1" t="s">
        <v>561</v>
      </c>
    </row>
    <row r="44" spans="1:23" ht="15.6" x14ac:dyDescent="0.3">
      <c r="A44" s="1">
        <v>43</v>
      </c>
      <c r="B44" s="1" t="s">
        <v>156</v>
      </c>
      <c r="C44" s="1">
        <v>844</v>
      </c>
      <c r="D44" s="1">
        <v>5</v>
      </c>
      <c r="E44" s="1" t="s">
        <v>157</v>
      </c>
      <c r="F44" s="1" t="s">
        <v>158</v>
      </c>
      <c r="G44" s="1" t="s">
        <v>159</v>
      </c>
      <c r="H44" s="1" t="s">
        <v>160</v>
      </c>
      <c r="I44" s="1" t="s">
        <v>569</v>
      </c>
      <c r="J44" s="1" t="s">
        <v>36</v>
      </c>
      <c r="K44" s="1" t="s">
        <v>162</v>
      </c>
      <c r="L44" s="1" t="s">
        <v>163</v>
      </c>
      <c r="M44" s="1" t="s">
        <v>591</v>
      </c>
      <c r="N44" s="1" t="s">
        <v>473</v>
      </c>
      <c r="O44" s="4">
        <v>1.9637692069055048</v>
      </c>
      <c r="P44" s="4">
        <v>0.88256428723598401</v>
      </c>
      <c r="Q44" s="4">
        <v>1.1418959735328134</v>
      </c>
      <c r="R44" s="4">
        <v>1.5504278940676559</v>
      </c>
      <c r="S44" s="4">
        <v>1.5160233254144584</v>
      </c>
      <c r="T44" s="4">
        <v>1.3896116336297049</v>
      </c>
      <c r="U44" s="2">
        <f t="shared" si="0"/>
        <v>1.4073820534643537</v>
      </c>
      <c r="V44" s="3">
        <f t="shared" si="1"/>
        <v>0.37096200269209251</v>
      </c>
      <c r="W44" s="1">
        <f>_xlfn.T.TEST(O44:T44,O45:T45,2,3)</f>
        <v>0.17589507678349442</v>
      </c>
    </row>
    <row r="45" spans="1:23" ht="15.6" x14ac:dyDescent="0.3">
      <c r="A45" s="1">
        <v>44</v>
      </c>
      <c r="B45" s="1" t="s">
        <v>164</v>
      </c>
      <c r="C45" s="1">
        <v>844</v>
      </c>
      <c r="D45" s="1">
        <v>5</v>
      </c>
      <c r="E45" s="1" t="s">
        <v>157</v>
      </c>
      <c r="F45" s="1" t="s">
        <v>158</v>
      </c>
      <c r="G45" s="1" t="s">
        <v>159</v>
      </c>
      <c r="H45" s="1" t="s">
        <v>160</v>
      </c>
      <c r="I45" s="1" t="s">
        <v>569</v>
      </c>
      <c r="J45" s="1" t="s">
        <v>36</v>
      </c>
      <c r="K45" s="1" t="s">
        <v>162</v>
      </c>
      <c r="L45" s="1" t="s">
        <v>163</v>
      </c>
      <c r="M45" s="1" t="s">
        <v>591</v>
      </c>
      <c r="N45" s="1" t="s">
        <v>474</v>
      </c>
      <c r="O45" s="4">
        <v>2.1313603340261871</v>
      </c>
      <c r="P45" s="4">
        <v>1.6507118177330344</v>
      </c>
      <c r="Q45" s="4">
        <v>1.3345370844942419</v>
      </c>
      <c r="R45" s="4">
        <v>2.4375422891081064</v>
      </c>
      <c r="S45" s="4">
        <v>1.1203834486073816</v>
      </c>
      <c r="T45" s="4">
        <v>4.2234643623160251</v>
      </c>
      <c r="U45" s="2">
        <f t="shared" si="0"/>
        <v>2.1496665560474959</v>
      </c>
      <c r="V45" s="3">
        <f t="shared" si="1"/>
        <v>1.1275336357090875</v>
      </c>
      <c r="W45" s="1" t="s">
        <v>561</v>
      </c>
    </row>
    <row r="46" spans="1:23" ht="15.6" x14ac:dyDescent="0.3">
      <c r="A46" s="1">
        <v>45</v>
      </c>
      <c r="B46" s="1" t="s">
        <v>166</v>
      </c>
      <c r="C46" s="1">
        <v>566</v>
      </c>
      <c r="D46" s="1">
        <v>2</v>
      </c>
      <c r="E46" s="1" t="s">
        <v>167</v>
      </c>
      <c r="F46" s="1" t="s">
        <v>168</v>
      </c>
      <c r="G46" s="1" t="s">
        <v>169</v>
      </c>
      <c r="H46" s="1" t="s">
        <v>35</v>
      </c>
      <c r="I46" s="1" t="s">
        <v>570</v>
      </c>
      <c r="J46" s="1" t="s">
        <v>170</v>
      </c>
      <c r="K46" s="1" t="s">
        <v>172</v>
      </c>
      <c r="L46" s="1" t="s">
        <v>173</v>
      </c>
      <c r="M46" s="1" t="s">
        <v>592</v>
      </c>
      <c r="N46" s="1" t="s">
        <v>475</v>
      </c>
      <c r="O46" s="4">
        <v>0.38272869848575058</v>
      </c>
      <c r="P46" s="4">
        <v>0.43255089264801033</v>
      </c>
      <c r="Q46" s="4">
        <v>0.48316855029830941</v>
      </c>
      <c r="R46" s="4">
        <v>0.56032313216770779</v>
      </c>
      <c r="S46" s="4">
        <v>0.78421519927031746</v>
      </c>
      <c r="T46" s="4">
        <v>0.79631780208958058</v>
      </c>
      <c r="U46" s="2">
        <f t="shared" si="0"/>
        <v>0.57321737915994608</v>
      </c>
      <c r="V46" s="3">
        <f t="shared" si="1"/>
        <v>0.17812463607270476</v>
      </c>
      <c r="W46" s="1">
        <f>_xlfn.T.TEST(O46:T46,O47:T47,2,3)</f>
        <v>0.71429210107131424</v>
      </c>
    </row>
    <row r="47" spans="1:23" ht="15.6" x14ac:dyDescent="0.3">
      <c r="A47" s="1">
        <v>46</v>
      </c>
      <c r="B47" s="1" t="s">
        <v>174</v>
      </c>
      <c r="C47" s="1">
        <v>566</v>
      </c>
      <c r="D47" s="1">
        <v>2</v>
      </c>
      <c r="E47" s="1" t="s">
        <v>167</v>
      </c>
      <c r="F47" s="1" t="s">
        <v>168</v>
      </c>
      <c r="G47" s="1" t="s">
        <v>169</v>
      </c>
      <c r="H47" s="1" t="s">
        <v>35</v>
      </c>
      <c r="I47" s="1" t="s">
        <v>570</v>
      </c>
      <c r="J47" s="1" t="s">
        <v>170</v>
      </c>
      <c r="K47" s="1" t="s">
        <v>172</v>
      </c>
      <c r="L47" s="1" t="s">
        <v>173</v>
      </c>
      <c r="M47" s="1" t="s">
        <v>592</v>
      </c>
      <c r="N47" s="1" t="s">
        <v>476</v>
      </c>
      <c r="O47" s="4">
        <v>0.35317904184241905</v>
      </c>
      <c r="P47" s="4">
        <v>0.83946830334037559</v>
      </c>
      <c r="Q47" s="4">
        <v>0.44962335253094815</v>
      </c>
      <c r="R47" s="4">
        <v>0.72608279708723211</v>
      </c>
      <c r="S47" s="4">
        <v>0.54941114299057181</v>
      </c>
      <c r="T47" s="4">
        <v>0.76344116197757617</v>
      </c>
      <c r="U47" s="2">
        <f t="shared" si="0"/>
        <v>0.61353429996152042</v>
      </c>
      <c r="V47" s="3">
        <f t="shared" si="1"/>
        <v>0.19232724390752673</v>
      </c>
      <c r="W47" s="1" t="s">
        <v>561</v>
      </c>
    </row>
    <row r="48" spans="1:23" ht="15.6" x14ac:dyDescent="0.3">
      <c r="A48" s="1">
        <v>47</v>
      </c>
      <c r="B48" s="1" t="s">
        <v>176</v>
      </c>
      <c r="C48" s="1">
        <v>301</v>
      </c>
      <c r="D48" s="1">
        <v>1</v>
      </c>
      <c r="E48" s="1" t="s">
        <v>177</v>
      </c>
      <c r="F48" s="1">
        <v>140478754</v>
      </c>
      <c r="G48" s="1" t="s">
        <v>15</v>
      </c>
      <c r="H48" s="1" t="s">
        <v>24</v>
      </c>
      <c r="I48" s="1">
        <v>0.26500000000000001</v>
      </c>
      <c r="J48" s="1" t="s">
        <v>16</v>
      </c>
      <c r="K48" s="1" t="s">
        <v>179</v>
      </c>
      <c r="L48" s="1" t="s">
        <v>28</v>
      </c>
      <c r="M48" s="1" t="s">
        <v>593</v>
      </c>
      <c r="N48" s="1" t="s">
        <v>477</v>
      </c>
      <c r="O48" s="4">
        <v>0.28199160942677132</v>
      </c>
      <c r="P48" s="4">
        <v>0.27234970476105125</v>
      </c>
      <c r="Q48" s="4">
        <v>0.33410591244032034</v>
      </c>
      <c r="R48" s="4">
        <v>1.3112204878083915</v>
      </c>
      <c r="S48" s="4">
        <v>0.92588243729741926</v>
      </c>
      <c r="T48" s="4">
        <v>0.77137414212281841</v>
      </c>
      <c r="U48" s="2">
        <f t="shared" si="0"/>
        <v>0.64948738230946201</v>
      </c>
      <c r="V48" s="3">
        <f t="shared" si="1"/>
        <v>0.42565073804773967</v>
      </c>
      <c r="W48" s="1">
        <f>_xlfn.T.TEST(O48:T48,O49:T49,2,3)</f>
        <v>0.97190806093818938</v>
      </c>
    </row>
    <row r="49" spans="1:23" ht="15.6" x14ac:dyDescent="0.3">
      <c r="A49" s="1">
        <v>48</v>
      </c>
      <c r="B49" s="1" t="s">
        <v>180</v>
      </c>
      <c r="C49" s="1">
        <v>301</v>
      </c>
      <c r="D49" s="1">
        <v>1</v>
      </c>
      <c r="E49" s="1" t="s">
        <v>177</v>
      </c>
      <c r="F49" s="1">
        <v>140478754</v>
      </c>
      <c r="G49" s="1" t="s">
        <v>15</v>
      </c>
      <c r="H49" s="1" t="s">
        <v>24</v>
      </c>
      <c r="I49" s="1">
        <v>0.26500000000000001</v>
      </c>
      <c r="J49" s="1" t="s">
        <v>16</v>
      </c>
      <c r="K49" s="1" t="s">
        <v>179</v>
      </c>
      <c r="L49" s="1" t="s">
        <v>28</v>
      </c>
      <c r="M49" s="1" t="s">
        <v>593</v>
      </c>
      <c r="N49" s="1" t="s">
        <v>478</v>
      </c>
      <c r="O49" s="4">
        <v>0.60969868222783019</v>
      </c>
      <c r="P49" s="4">
        <v>0.51938032601659812</v>
      </c>
      <c r="Q49" s="4">
        <v>0.40974587843925259</v>
      </c>
      <c r="R49" s="4">
        <v>0.86991584247111209</v>
      </c>
      <c r="S49" s="4">
        <v>0.65291311315395695</v>
      </c>
      <c r="T49" s="4">
        <v>0.87687880894335513</v>
      </c>
      <c r="U49" s="2">
        <f t="shared" si="0"/>
        <v>0.65642210854201744</v>
      </c>
      <c r="V49" s="3">
        <f t="shared" si="1"/>
        <v>0.1876196873728663</v>
      </c>
      <c r="W49" s="1" t="s">
        <v>561</v>
      </c>
    </row>
    <row r="50" spans="1:23" ht="15.6" x14ac:dyDescent="0.3">
      <c r="A50" s="1">
        <v>49</v>
      </c>
      <c r="B50" s="1" t="s">
        <v>182</v>
      </c>
      <c r="C50" s="1">
        <v>480</v>
      </c>
      <c r="D50" s="1">
        <v>2</v>
      </c>
      <c r="E50" s="1" t="s">
        <v>183</v>
      </c>
      <c r="F50" s="1" t="s">
        <v>184</v>
      </c>
      <c r="G50" s="1" t="s">
        <v>35</v>
      </c>
      <c r="H50" s="1" t="s">
        <v>185</v>
      </c>
      <c r="I50" s="1" t="s">
        <v>571</v>
      </c>
      <c r="J50" s="1" t="s">
        <v>44</v>
      </c>
      <c r="K50" s="1" t="s">
        <v>187</v>
      </c>
      <c r="L50" s="1" t="s">
        <v>188</v>
      </c>
      <c r="M50" s="1" t="s">
        <v>594</v>
      </c>
      <c r="N50" s="1" t="s">
        <v>479</v>
      </c>
      <c r="O50" s="4">
        <v>0.7071446421275549</v>
      </c>
      <c r="P50" s="4">
        <v>0.98533144164028696</v>
      </c>
      <c r="Q50" s="4">
        <v>0.86367396849276212</v>
      </c>
      <c r="R50" s="4">
        <v>1.0203230012011657</v>
      </c>
      <c r="S50" s="4">
        <v>1.0435328374382897</v>
      </c>
      <c r="T50" s="4">
        <v>1.142351751521252</v>
      </c>
      <c r="U50" s="2">
        <f t="shared" si="0"/>
        <v>0.96039294040355194</v>
      </c>
      <c r="V50" s="3">
        <f t="shared" si="1"/>
        <v>0.15344318333547596</v>
      </c>
      <c r="W50" s="1">
        <f>_xlfn.T.TEST(O50:T50,O51:T51,2,3)</f>
        <v>0.16670870722424672</v>
      </c>
    </row>
    <row r="51" spans="1:23" ht="15.6" x14ac:dyDescent="0.3">
      <c r="A51" s="1">
        <v>50</v>
      </c>
      <c r="B51" s="1" t="s">
        <v>189</v>
      </c>
      <c r="C51" s="1">
        <v>480</v>
      </c>
      <c r="D51" s="1">
        <v>2</v>
      </c>
      <c r="E51" s="1" t="s">
        <v>183</v>
      </c>
      <c r="F51" s="1" t="s">
        <v>184</v>
      </c>
      <c r="G51" s="1" t="s">
        <v>35</v>
      </c>
      <c r="H51" s="1" t="s">
        <v>185</v>
      </c>
      <c r="I51" s="1" t="s">
        <v>571</v>
      </c>
      <c r="J51" s="1" t="s">
        <v>44</v>
      </c>
      <c r="K51" s="1" t="s">
        <v>187</v>
      </c>
      <c r="L51" s="1" t="s">
        <v>188</v>
      </c>
      <c r="M51" s="1" t="s">
        <v>594</v>
      </c>
      <c r="N51" s="1" t="s">
        <v>480</v>
      </c>
      <c r="O51" s="4">
        <v>0.69024078614044204</v>
      </c>
      <c r="P51" s="4">
        <v>0.56033306078821143</v>
      </c>
      <c r="Q51" s="4">
        <v>1.5643905844397201</v>
      </c>
      <c r="R51" s="4">
        <v>1.7301742189574869</v>
      </c>
      <c r="S51" s="4">
        <v>1.8936864419071471</v>
      </c>
      <c r="T51" s="4">
        <v>1.6024693987226111</v>
      </c>
      <c r="U51" s="2">
        <f t="shared" si="0"/>
        <v>1.3402157484926029</v>
      </c>
      <c r="V51" s="3">
        <f t="shared" si="1"/>
        <v>0.56711783776437319</v>
      </c>
      <c r="W51" s="1" t="s">
        <v>561</v>
      </c>
    </row>
    <row r="52" spans="1:23" ht="15.6" x14ac:dyDescent="0.3">
      <c r="A52" s="1">
        <v>51</v>
      </c>
      <c r="B52" s="1" t="s">
        <v>191</v>
      </c>
      <c r="C52" s="1">
        <v>301</v>
      </c>
      <c r="D52" s="1">
        <v>1</v>
      </c>
      <c r="E52" s="1" t="s">
        <v>192</v>
      </c>
      <c r="F52" s="1">
        <v>129172930</v>
      </c>
      <c r="G52" s="1" t="s">
        <v>72</v>
      </c>
      <c r="H52" s="1" t="s">
        <v>14</v>
      </c>
      <c r="I52" s="1">
        <v>0.68799999999999994</v>
      </c>
      <c r="J52" s="1" t="s">
        <v>36</v>
      </c>
      <c r="K52" s="1" t="s">
        <v>194</v>
      </c>
      <c r="L52" s="1" t="s">
        <v>19</v>
      </c>
      <c r="M52" s="1" t="s">
        <v>595</v>
      </c>
      <c r="N52" s="1" t="s">
        <v>481</v>
      </c>
      <c r="O52" s="4">
        <v>2.4405035281608369</v>
      </c>
      <c r="P52" s="4">
        <v>2.2537269879046145</v>
      </c>
      <c r="Q52" s="4">
        <v>3.3782833315212444</v>
      </c>
      <c r="R52" s="4">
        <v>3.9608662598621613</v>
      </c>
      <c r="S52" s="4">
        <v>3.1177165956832544</v>
      </c>
      <c r="T52" s="4">
        <v>3.5385330289363472</v>
      </c>
      <c r="U52" s="2">
        <f t="shared" si="0"/>
        <v>3.1149382886780761</v>
      </c>
      <c r="V52" s="3">
        <f t="shared" si="1"/>
        <v>0.65740887091061506</v>
      </c>
      <c r="W52" s="1">
        <f>_xlfn.T.TEST(O52:T52,O53:T53,2,3)</f>
        <v>1.7979310172993329E-4</v>
      </c>
    </row>
    <row r="53" spans="1:23" ht="15.6" x14ac:dyDescent="0.3">
      <c r="A53" s="1">
        <v>52</v>
      </c>
      <c r="B53" s="1" t="s">
        <v>195</v>
      </c>
      <c r="C53" s="1">
        <v>301</v>
      </c>
      <c r="D53" s="1">
        <v>1</v>
      </c>
      <c r="E53" s="1" t="s">
        <v>192</v>
      </c>
      <c r="F53" s="1">
        <v>129172930</v>
      </c>
      <c r="G53" s="1" t="s">
        <v>72</v>
      </c>
      <c r="H53" s="1" t="s">
        <v>14</v>
      </c>
      <c r="I53" s="1">
        <v>0.68799999999999994</v>
      </c>
      <c r="J53" s="1" t="s">
        <v>36</v>
      </c>
      <c r="K53" s="1" t="s">
        <v>194</v>
      </c>
      <c r="L53" s="1" t="s">
        <v>19</v>
      </c>
      <c r="M53" s="1" t="s">
        <v>595</v>
      </c>
      <c r="N53" s="1" t="s">
        <v>482</v>
      </c>
      <c r="O53" s="5">
        <v>0.8731741665126348</v>
      </c>
      <c r="P53" s="5">
        <v>0.67071423758515314</v>
      </c>
      <c r="Q53" s="5">
        <v>0.73644238714822963</v>
      </c>
      <c r="R53" s="5">
        <v>1.2197618140476958</v>
      </c>
      <c r="S53" s="5">
        <v>0.66068588831055164</v>
      </c>
      <c r="T53" s="5">
        <v>1.124869033898203</v>
      </c>
      <c r="U53" s="2">
        <f t="shared" si="0"/>
        <v>0.88094125458374462</v>
      </c>
      <c r="V53" s="3">
        <f t="shared" si="1"/>
        <v>0.23997841920983867</v>
      </c>
      <c r="W53" s="1" t="s">
        <v>561</v>
      </c>
    </row>
    <row r="54" spans="1:23" x14ac:dyDescent="0.3">
      <c r="A54" s="1">
        <v>53</v>
      </c>
      <c r="B54" s="1" t="s">
        <v>197</v>
      </c>
      <c r="C54" s="1">
        <v>301</v>
      </c>
      <c r="D54" s="1">
        <v>1</v>
      </c>
      <c r="E54" s="1" t="s">
        <v>198</v>
      </c>
      <c r="F54" s="1">
        <v>130042955</v>
      </c>
      <c r="G54" s="1" t="s">
        <v>72</v>
      </c>
      <c r="H54" s="1" t="s">
        <v>24</v>
      </c>
      <c r="I54" s="1">
        <v>0.16300000000000001</v>
      </c>
      <c r="J54" s="1" t="s">
        <v>25</v>
      </c>
      <c r="K54" s="1" t="s">
        <v>200</v>
      </c>
      <c r="L54" s="1" t="s">
        <v>75</v>
      </c>
      <c r="M54" s="1" t="s">
        <v>596</v>
      </c>
      <c r="N54" s="1" t="s">
        <v>483</v>
      </c>
      <c r="O54" s="2">
        <v>1.2564399144185412</v>
      </c>
      <c r="P54" s="2">
        <v>1.144728877363357</v>
      </c>
      <c r="Q54" s="2">
        <v>1.3180745372582905</v>
      </c>
      <c r="R54" s="2">
        <v>0.51878755114946196</v>
      </c>
      <c r="S54" s="2">
        <v>0.5056730261329051</v>
      </c>
      <c r="T54" s="2">
        <v>0.79359604913740633</v>
      </c>
      <c r="U54" s="2">
        <f t="shared" si="0"/>
        <v>0.92288332590999367</v>
      </c>
      <c r="V54" s="3">
        <f t="shared" si="1"/>
        <v>0.36625798812277571</v>
      </c>
      <c r="W54" s="1">
        <f>_xlfn.T.TEST(O54:T54,O55:T55,2,3)</f>
        <v>0.22174076863130185</v>
      </c>
    </row>
    <row r="55" spans="1:23" x14ac:dyDescent="0.3">
      <c r="A55" s="1">
        <v>54</v>
      </c>
      <c r="B55" s="1" t="s">
        <v>201</v>
      </c>
      <c r="C55" s="1">
        <v>301</v>
      </c>
      <c r="D55" s="1">
        <v>1</v>
      </c>
      <c r="E55" s="1" t="s">
        <v>198</v>
      </c>
      <c r="F55" s="1">
        <v>130042955</v>
      </c>
      <c r="G55" s="1" t="s">
        <v>72</v>
      </c>
      <c r="H55" s="1" t="s">
        <v>24</v>
      </c>
      <c r="I55" s="1">
        <v>0.16300000000000001</v>
      </c>
      <c r="J55" s="1" t="s">
        <v>25</v>
      </c>
      <c r="K55" s="1" t="s">
        <v>200</v>
      </c>
      <c r="L55" s="1" t="s">
        <v>75</v>
      </c>
      <c r="M55" s="1" t="s">
        <v>596</v>
      </c>
      <c r="N55" s="1" t="s">
        <v>484</v>
      </c>
      <c r="O55" s="2">
        <v>0.74708256380568727</v>
      </c>
      <c r="P55" s="2">
        <v>1.1898955857797155</v>
      </c>
      <c r="Q55" s="2">
        <v>0.7767286972900399</v>
      </c>
      <c r="R55" s="2">
        <v>0.35022159326265889</v>
      </c>
      <c r="S55" s="2">
        <v>0.58869215120438745</v>
      </c>
      <c r="T55" s="2">
        <v>0.33080931066467151</v>
      </c>
      <c r="U55" s="2">
        <f t="shared" si="0"/>
        <v>0.66390498366786022</v>
      </c>
      <c r="V55" s="3">
        <f t="shared" si="1"/>
        <v>0.31978767351472553</v>
      </c>
      <c r="W55" s="1" t="s">
        <v>561</v>
      </c>
    </row>
    <row r="56" spans="1:23" x14ac:dyDescent="0.3">
      <c r="A56" s="1">
        <v>55</v>
      </c>
      <c r="B56" s="1" t="s">
        <v>203</v>
      </c>
      <c r="C56" s="1">
        <v>301</v>
      </c>
      <c r="D56" s="1">
        <v>1</v>
      </c>
      <c r="E56" s="1" t="s">
        <v>204</v>
      </c>
      <c r="F56" s="1">
        <v>61961417</v>
      </c>
      <c r="G56" s="1" t="s">
        <v>15</v>
      </c>
      <c r="H56" s="1" t="s">
        <v>24</v>
      </c>
      <c r="I56" s="1">
        <v>0.85</v>
      </c>
      <c r="J56" s="1" t="s">
        <v>36</v>
      </c>
      <c r="K56" s="1" t="s">
        <v>206</v>
      </c>
      <c r="L56" s="1" t="s">
        <v>173</v>
      </c>
      <c r="M56" s="1" t="s">
        <v>597</v>
      </c>
      <c r="N56" s="1" t="s">
        <v>485</v>
      </c>
      <c r="O56" s="2">
        <v>0.88117430602722091</v>
      </c>
      <c r="P56" s="2">
        <v>1.1973522941493127</v>
      </c>
      <c r="Q56" s="2">
        <v>0.87370672716258346</v>
      </c>
      <c r="R56" s="2">
        <v>0.46724478907439482</v>
      </c>
      <c r="S56" s="2">
        <v>1.9679118097616071</v>
      </c>
      <c r="T56" s="2">
        <v>0.8985042841568216</v>
      </c>
      <c r="U56" s="2">
        <f t="shared" si="0"/>
        <v>1.0476490350553234</v>
      </c>
      <c r="V56" s="3">
        <f t="shared" si="1"/>
        <v>0.50722335270505259</v>
      </c>
      <c r="W56" s="1">
        <f>_xlfn.T.TEST(O56:T56,O57:T57,2,3)</f>
        <v>0.21356020982611804</v>
      </c>
    </row>
    <row r="57" spans="1:23" x14ac:dyDescent="0.3">
      <c r="A57" s="1">
        <v>56</v>
      </c>
      <c r="B57" s="1" t="s">
        <v>207</v>
      </c>
      <c r="C57" s="1">
        <v>301</v>
      </c>
      <c r="D57" s="1">
        <v>1</v>
      </c>
      <c r="E57" s="1" t="s">
        <v>204</v>
      </c>
      <c r="F57" s="1">
        <v>61961417</v>
      </c>
      <c r="G57" s="1" t="s">
        <v>15</v>
      </c>
      <c r="H57" s="1" t="s">
        <v>24</v>
      </c>
      <c r="I57" s="1">
        <v>0.85</v>
      </c>
      <c r="J57" s="1" t="s">
        <v>36</v>
      </c>
      <c r="K57" s="1" t="s">
        <v>206</v>
      </c>
      <c r="L57" s="1" t="s">
        <v>173</v>
      </c>
      <c r="M57" s="1" t="s">
        <v>597</v>
      </c>
      <c r="N57" s="1" t="s">
        <v>486</v>
      </c>
      <c r="O57" s="2">
        <v>0.97138239623123779</v>
      </c>
      <c r="P57" s="2">
        <v>1.1562598112733677</v>
      </c>
      <c r="Q57" s="2">
        <v>1.5546432399194539</v>
      </c>
      <c r="R57" s="2">
        <v>1.2776740854422375</v>
      </c>
      <c r="S57" s="2">
        <v>2.0050087726775057</v>
      </c>
      <c r="T57" s="2">
        <v>1.3602356524040771</v>
      </c>
      <c r="U57" s="2">
        <f t="shared" si="0"/>
        <v>1.3875339929913133</v>
      </c>
      <c r="V57" s="3">
        <f t="shared" si="1"/>
        <v>0.36019020010493913</v>
      </c>
      <c r="W57" s="1" t="s">
        <v>561</v>
      </c>
    </row>
    <row r="58" spans="1:23" x14ac:dyDescent="0.3">
      <c r="A58" s="1">
        <v>57</v>
      </c>
      <c r="B58" s="1" t="s">
        <v>209</v>
      </c>
      <c r="C58" s="1">
        <v>301</v>
      </c>
      <c r="D58" s="1">
        <v>1</v>
      </c>
      <c r="E58" s="1" t="s">
        <v>210</v>
      </c>
      <c r="F58" s="1">
        <v>61964631</v>
      </c>
      <c r="G58" s="1" t="s">
        <v>14</v>
      </c>
      <c r="H58" s="1" t="s">
        <v>72</v>
      </c>
      <c r="I58" s="1">
        <v>6.4000000000000001E-2</v>
      </c>
      <c r="J58" s="1" t="s">
        <v>36</v>
      </c>
      <c r="K58" s="1" t="s">
        <v>206</v>
      </c>
      <c r="L58" s="1" t="s">
        <v>173</v>
      </c>
      <c r="M58" s="1" t="s">
        <v>597</v>
      </c>
      <c r="N58" s="1" t="s">
        <v>487</v>
      </c>
      <c r="O58" s="2">
        <v>1.3408971298814647</v>
      </c>
      <c r="P58" s="2">
        <v>1.2249850901707897</v>
      </c>
      <c r="Q58" s="2">
        <v>0.85525741467347904</v>
      </c>
      <c r="R58" s="2">
        <v>0.85465034598539258</v>
      </c>
      <c r="S58" s="2">
        <v>1.0085649715386327</v>
      </c>
      <c r="T58" s="2">
        <v>1.0168318975348511</v>
      </c>
      <c r="U58" s="2">
        <f t="shared" si="0"/>
        <v>1.050197808297435</v>
      </c>
      <c r="V58" s="3">
        <f t="shared" si="1"/>
        <v>0.19705016298122349</v>
      </c>
      <c r="W58" s="1">
        <f>_xlfn.T.TEST(O58:T58,O59:T59,2,3)</f>
        <v>0.16230804274206401</v>
      </c>
    </row>
    <row r="59" spans="1:23" x14ac:dyDescent="0.3">
      <c r="A59" s="1">
        <v>58</v>
      </c>
      <c r="B59" s="1" t="s">
        <v>212</v>
      </c>
      <c r="C59" s="1">
        <v>301</v>
      </c>
      <c r="D59" s="1">
        <v>1</v>
      </c>
      <c r="E59" s="1" t="s">
        <v>210</v>
      </c>
      <c r="F59" s="1">
        <v>61964631</v>
      </c>
      <c r="G59" s="1" t="s">
        <v>14</v>
      </c>
      <c r="H59" s="1" t="s">
        <v>72</v>
      </c>
      <c r="I59" s="1">
        <v>6.4000000000000001E-2</v>
      </c>
      <c r="J59" s="1" t="s">
        <v>36</v>
      </c>
      <c r="K59" s="1" t="s">
        <v>206</v>
      </c>
      <c r="L59" s="1" t="s">
        <v>173</v>
      </c>
      <c r="M59" s="1" t="s">
        <v>597</v>
      </c>
      <c r="N59" s="1" t="s">
        <v>488</v>
      </c>
      <c r="O59" s="2">
        <v>1.1017853084367735</v>
      </c>
      <c r="P59" s="2">
        <v>1.3982467514265575</v>
      </c>
      <c r="Q59" s="2">
        <v>1.1280227958311113</v>
      </c>
      <c r="R59" s="2">
        <v>1.6878026054319974</v>
      </c>
      <c r="S59" s="2">
        <v>0.94625088862892315</v>
      </c>
      <c r="T59" s="2">
        <v>1.2574622920002132</v>
      </c>
      <c r="U59" s="2">
        <f t="shared" si="0"/>
        <v>1.2532617736259295</v>
      </c>
      <c r="V59" s="3">
        <f t="shared" si="1"/>
        <v>0.26182040685214297</v>
      </c>
      <c r="W59" s="1" t="s">
        <v>561</v>
      </c>
    </row>
    <row r="60" spans="1:23" x14ac:dyDescent="0.3">
      <c r="A60" s="1">
        <v>59</v>
      </c>
      <c r="B60" s="1" t="s">
        <v>214</v>
      </c>
      <c r="C60" s="1">
        <v>384</v>
      </c>
      <c r="D60" s="1">
        <v>2</v>
      </c>
      <c r="E60" s="1" t="s">
        <v>215</v>
      </c>
      <c r="F60" s="1" t="s">
        <v>216</v>
      </c>
      <c r="G60" s="1" t="s">
        <v>35</v>
      </c>
      <c r="H60" s="1" t="s">
        <v>34</v>
      </c>
      <c r="I60" s="1" t="s">
        <v>572</v>
      </c>
      <c r="J60" s="1" t="s">
        <v>36</v>
      </c>
      <c r="K60" s="1" t="s">
        <v>218</v>
      </c>
      <c r="L60" s="1" t="s">
        <v>147</v>
      </c>
      <c r="M60" s="1" t="s">
        <v>598</v>
      </c>
      <c r="N60" s="1" t="s">
        <v>489</v>
      </c>
      <c r="O60" s="2">
        <v>0.63338753434816031</v>
      </c>
      <c r="P60" s="2">
        <v>0.728739018712244</v>
      </c>
      <c r="Q60" s="2">
        <v>0.53696559273533773</v>
      </c>
      <c r="R60" s="2">
        <v>1.4168360621014278</v>
      </c>
      <c r="S60" s="2">
        <v>1.77957901927782</v>
      </c>
      <c r="T60" s="2">
        <v>1.7708409487198418</v>
      </c>
      <c r="U60" s="2">
        <f t="shared" si="0"/>
        <v>1.1443913626491387</v>
      </c>
      <c r="V60" s="3">
        <f t="shared" si="1"/>
        <v>0.5784438446029313</v>
      </c>
      <c r="W60" s="1">
        <f>_xlfn.T.TEST(O60:T60,O61:T61,2,3)</f>
        <v>0.34252301102366223</v>
      </c>
    </row>
    <row r="61" spans="1:23" x14ac:dyDescent="0.3">
      <c r="A61" s="1">
        <v>60</v>
      </c>
      <c r="B61" s="1" t="s">
        <v>219</v>
      </c>
      <c r="C61" s="1">
        <v>384</v>
      </c>
      <c r="D61" s="1">
        <v>2</v>
      </c>
      <c r="E61" s="1" t="s">
        <v>215</v>
      </c>
      <c r="F61" s="1" t="s">
        <v>216</v>
      </c>
      <c r="G61" s="1" t="s">
        <v>35</v>
      </c>
      <c r="H61" s="1" t="s">
        <v>34</v>
      </c>
      <c r="I61" s="1" t="s">
        <v>572</v>
      </c>
      <c r="J61" s="1" t="s">
        <v>36</v>
      </c>
      <c r="K61" s="1" t="s">
        <v>218</v>
      </c>
      <c r="L61" s="1" t="s">
        <v>147</v>
      </c>
      <c r="M61" s="1" t="s">
        <v>598</v>
      </c>
      <c r="N61" s="1" t="s">
        <v>490</v>
      </c>
      <c r="O61" s="2">
        <v>1.1186783181986202</v>
      </c>
      <c r="P61" s="2">
        <v>1.2847027265443594</v>
      </c>
      <c r="Q61" s="2">
        <v>0.54585495601552003</v>
      </c>
      <c r="R61" s="2">
        <v>3.7466744045965465</v>
      </c>
      <c r="S61" s="2">
        <v>1.2766027889700453</v>
      </c>
      <c r="T61" s="2">
        <v>2.0312852409234217</v>
      </c>
      <c r="U61" s="2">
        <f t="shared" si="0"/>
        <v>1.6672997392080855</v>
      </c>
      <c r="V61" s="3">
        <f t="shared" si="1"/>
        <v>1.1237377710910246</v>
      </c>
      <c r="W61" s="1" t="s">
        <v>561</v>
      </c>
    </row>
    <row r="62" spans="1:23" x14ac:dyDescent="0.3">
      <c r="A62" s="1">
        <v>61</v>
      </c>
      <c r="B62" s="1" t="s">
        <v>221</v>
      </c>
      <c r="C62" s="1">
        <v>497</v>
      </c>
      <c r="D62" s="1">
        <v>2</v>
      </c>
      <c r="E62" s="1" t="s">
        <v>222</v>
      </c>
      <c r="F62" s="1" t="s">
        <v>223</v>
      </c>
      <c r="G62" s="1" t="s">
        <v>34</v>
      </c>
      <c r="H62" s="1" t="s">
        <v>35</v>
      </c>
      <c r="I62" s="1" t="s">
        <v>573</v>
      </c>
      <c r="J62" s="1" t="s">
        <v>36</v>
      </c>
      <c r="K62" s="1" t="s">
        <v>218</v>
      </c>
      <c r="L62" s="1" t="s">
        <v>147</v>
      </c>
      <c r="M62" s="1" t="s">
        <v>598</v>
      </c>
      <c r="N62" s="1" t="s">
        <v>491</v>
      </c>
      <c r="O62" s="2">
        <v>1.5704800131614176</v>
      </c>
      <c r="P62" s="2">
        <v>1.4554593697826259</v>
      </c>
      <c r="Q62" s="2">
        <v>1.5821512967961984</v>
      </c>
      <c r="R62" s="2">
        <v>0.96099765572443874</v>
      </c>
      <c r="S62" s="2">
        <v>2.5670088209471813</v>
      </c>
      <c r="T62" s="2">
        <v>1.0015186396461877</v>
      </c>
      <c r="U62" s="2">
        <f t="shared" si="0"/>
        <v>1.5229359660096751</v>
      </c>
      <c r="V62" s="3">
        <f t="shared" si="1"/>
        <v>0.58104368201947476</v>
      </c>
      <c r="W62" s="1">
        <f>_xlfn.T.TEST(O62:T62,O63:T63,2,3)</f>
        <v>0.34463517686407141</v>
      </c>
    </row>
    <row r="63" spans="1:23" x14ac:dyDescent="0.3">
      <c r="A63" s="1">
        <v>62</v>
      </c>
      <c r="B63" s="1" t="s">
        <v>225</v>
      </c>
      <c r="C63" s="1">
        <v>497</v>
      </c>
      <c r="D63" s="1">
        <v>2</v>
      </c>
      <c r="E63" s="1" t="s">
        <v>222</v>
      </c>
      <c r="F63" s="1" t="s">
        <v>223</v>
      </c>
      <c r="G63" s="1" t="s">
        <v>34</v>
      </c>
      <c r="H63" s="1" t="s">
        <v>35</v>
      </c>
      <c r="I63" s="1" t="s">
        <v>573</v>
      </c>
      <c r="J63" s="1" t="s">
        <v>36</v>
      </c>
      <c r="K63" s="1" t="s">
        <v>218</v>
      </c>
      <c r="L63" s="1" t="s">
        <v>147</v>
      </c>
      <c r="M63" s="1" t="s">
        <v>598</v>
      </c>
      <c r="N63" s="1" t="s">
        <v>492</v>
      </c>
      <c r="O63" s="2">
        <v>1.350856837070032</v>
      </c>
      <c r="P63" s="2">
        <v>1.7743210890385073</v>
      </c>
      <c r="Q63" s="2">
        <v>1.4055743025164089</v>
      </c>
      <c r="R63" s="2">
        <v>1.0631150536761818</v>
      </c>
      <c r="S63" s="2">
        <v>0.75300809111989409</v>
      </c>
      <c r="T63" s="2">
        <v>1.1265951756382004</v>
      </c>
      <c r="U63" s="2">
        <f t="shared" si="0"/>
        <v>1.245578424843204</v>
      </c>
      <c r="V63" s="3">
        <f t="shared" si="1"/>
        <v>0.3482316639730163</v>
      </c>
      <c r="W63" s="1" t="s">
        <v>561</v>
      </c>
    </row>
    <row r="64" spans="1:23" x14ac:dyDescent="0.3">
      <c r="A64" s="1">
        <v>63</v>
      </c>
      <c r="B64" s="1" t="s">
        <v>227</v>
      </c>
      <c r="C64" s="1">
        <v>301</v>
      </c>
      <c r="D64" s="1">
        <v>1</v>
      </c>
      <c r="E64" s="1" t="s">
        <v>228</v>
      </c>
      <c r="F64" s="1">
        <v>124606986</v>
      </c>
      <c r="G64" s="1" t="s">
        <v>24</v>
      </c>
      <c r="H64" s="1" t="s">
        <v>15</v>
      </c>
      <c r="I64" s="1">
        <v>5.6000000000000001E-2</v>
      </c>
      <c r="J64" s="1" t="s">
        <v>36</v>
      </c>
      <c r="K64" s="1" t="s">
        <v>218</v>
      </c>
      <c r="L64" s="1" t="s">
        <v>147</v>
      </c>
      <c r="M64" s="1" t="s">
        <v>598</v>
      </c>
      <c r="N64" s="1" t="s">
        <v>493</v>
      </c>
      <c r="O64" s="2">
        <v>0.73227881050552024</v>
      </c>
      <c r="P64" s="2">
        <v>0.47596950119556941</v>
      </c>
      <c r="Q64" s="2">
        <v>0.72533343531061623</v>
      </c>
      <c r="R64" s="2">
        <v>0.70858787474072849</v>
      </c>
      <c r="S64" s="2">
        <v>0.43527540876930465</v>
      </c>
      <c r="T64" s="2">
        <v>0.61419229458245439</v>
      </c>
      <c r="U64" s="2">
        <f t="shared" si="0"/>
        <v>0.61527288751736553</v>
      </c>
      <c r="V64" s="3">
        <f t="shared" si="1"/>
        <v>0.13139032727931341</v>
      </c>
      <c r="W64" s="1">
        <f>_xlfn.T.TEST(O64:T64,O65:T65,2,3)</f>
        <v>0.4834462215566101</v>
      </c>
    </row>
    <row r="65" spans="1:23" x14ac:dyDescent="0.3">
      <c r="A65" s="1">
        <v>64</v>
      </c>
      <c r="B65" s="1" t="s">
        <v>230</v>
      </c>
      <c r="C65" s="1">
        <v>301</v>
      </c>
      <c r="D65" s="1">
        <v>1</v>
      </c>
      <c r="E65" s="1" t="s">
        <v>228</v>
      </c>
      <c r="F65" s="1">
        <v>124606986</v>
      </c>
      <c r="G65" s="1" t="s">
        <v>24</v>
      </c>
      <c r="H65" s="1" t="s">
        <v>15</v>
      </c>
      <c r="I65" s="1">
        <v>5.6000000000000001E-2</v>
      </c>
      <c r="J65" s="1" t="s">
        <v>36</v>
      </c>
      <c r="K65" s="1" t="s">
        <v>218</v>
      </c>
      <c r="L65" s="1" t="s">
        <v>147</v>
      </c>
      <c r="M65" s="1" t="s">
        <v>598</v>
      </c>
      <c r="N65" s="1" t="s">
        <v>494</v>
      </c>
      <c r="O65" s="2">
        <v>0.74183198353797664</v>
      </c>
      <c r="P65" s="2">
        <v>0.82875718492913863</v>
      </c>
      <c r="Q65" s="2">
        <v>0.3489757043695812</v>
      </c>
      <c r="R65" s="2">
        <v>0.46875813252078963</v>
      </c>
      <c r="S65" s="2">
        <v>0.37413609558787192</v>
      </c>
      <c r="T65" s="2">
        <v>2.3549515705211097</v>
      </c>
      <c r="U65" s="2">
        <f t="shared" si="0"/>
        <v>0.85290177857774463</v>
      </c>
      <c r="V65" s="3">
        <f t="shared" si="1"/>
        <v>0.76155071354851733</v>
      </c>
      <c r="W65" s="1" t="s">
        <v>561</v>
      </c>
    </row>
    <row r="66" spans="1:23" x14ac:dyDescent="0.3">
      <c r="A66" s="1">
        <v>65</v>
      </c>
      <c r="B66" s="1" t="s">
        <v>232</v>
      </c>
      <c r="C66" s="1">
        <v>301</v>
      </c>
      <c r="D66" s="1">
        <v>1</v>
      </c>
      <c r="E66" s="1" t="s">
        <v>233</v>
      </c>
      <c r="F66" s="1">
        <v>57571888</v>
      </c>
      <c r="G66" s="1" t="s">
        <v>24</v>
      </c>
      <c r="H66" s="1" t="s">
        <v>14</v>
      </c>
      <c r="I66" s="1">
        <v>0.14000000000000001</v>
      </c>
      <c r="J66" s="1" t="s">
        <v>44</v>
      </c>
      <c r="K66" s="1" t="s">
        <v>235</v>
      </c>
      <c r="L66" s="1" t="s">
        <v>75</v>
      </c>
      <c r="M66" s="1" t="s">
        <v>599</v>
      </c>
      <c r="N66" s="1" t="s">
        <v>495</v>
      </c>
      <c r="O66" s="2">
        <v>1.6447239684517254</v>
      </c>
      <c r="P66" s="2">
        <v>0.78104086216049118</v>
      </c>
      <c r="Q66" s="2">
        <v>1.4078425624657593</v>
      </c>
      <c r="R66" s="2">
        <v>1.0536926321792965</v>
      </c>
      <c r="S66" s="2">
        <v>0.71404729977885928</v>
      </c>
      <c r="T66" s="2">
        <v>0.77654767761659982</v>
      </c>
      <c r="U66" s="2">
        <f t="shared" si="0"/>
        <v>1.0629825004421221</v>
      </c>
      <c r="V66" s="3">
        <f t="shared" si="1"/>
        <v>0.38489730293136243</v>
      </c>
      <c r="W66" s="1">
        <f>_xlfn.T.TEST(O66:T66,O67:T67,2,3)</f>
        <v>0.34451487060112918</v>
      </c>
    </row>
    <row r="67" spans="1:23" x14ac:dyDescent="0.3">
      <c r="A67" s="1">
        <v>66</v>
      </c>
      <c r="B67" s="1" t="s">
        <v>236</v>
      </c>
      <c r="C67" s="1">
        <v>301</v>
      </c>
      <c r="D67" s="1">
        <v>1</v>
      </c>
      <c r="E67" s="1" t="s">
        <v>233</v>
      </c>
      <c r="F67" s="1">
        <v>57571888</v>
      </c>
      <c r="G67" s="1" t="s">
        <v>24</v>
      </c>
      <c r="H67" s="1" t="s">
        <v>14</v>
      </c>
      <c r="I67" s="1">
        <v>0.14000000000000001</v>
      </c>
      <c r="J67" s="1" t="s">
        <v>44</v>
      </c>
      <c r="K67" s="1" t="s">
        <v>235</v>
      </c>
      <c r="L67" s="1" t="s">
        <v>75</v>
      </c>
      <c r="M67" s="1" t="s">
        <v>599</v>
      </c>
      <c r="N67" s="1" t="s">
        <v>496</v>
      </c>
      <c r="O67" s="2">
        <v>0.95071708476154837</v>
      </c>
      <c r="P67" s="2">
        <v>0.86252740880321965</v>
      </c>
      <c r="Q67" s="2">
        <v>1.2389119183110981</v>
      </c>
      <c r="R67" s="2">
        <v>0.51138914145027592</v>
      </c>
      <c r="S67" s="2">
        <v>0.94276240609019901</v>
      </c>
      <c r="T67" s="2">
        <v>0.75822167979169197</v>
      </c>
      <c r="U67" s="2">
        <f t="shared" si="0"/>
        <v>0.87742160653467216</v>
      </c>
      <c r="V67" s="3">
        <f t="shared" si="1"/>
        <v>0.24030277479905834</v>
      </c>
      <c r="W67" s="1" t="s">
        <v>561</v>
      </c>
    </row>
    <row r="68" spans="1:23" x14ac:dyDescent="0.3">
      <c r="A68" s="1">
        <v>67</v>
      </c>
      <c r="B68" s="1" t="s">
        <v>238</v>
      </c>
      <c r="C68" s="1">
        <v>301</v>
      </c>
      <c r="D68" s="1">
        <v>1</v>
      </c>
      <c r="E68" s="1" t="s">
        <v>239</v>
      </c>
      <c r="F68" s="1">
        <v>128568530</v>
      </c>
      <c r="G68" s="1" t="s">
        <v>14</v>
      </c>
      <c r="H68" s="1" t="s">
        <v>72</v>
      </c>
      <c r="I68" s="1">
        <v>0.115</v>
      </c>
      <c r="J68" s="1" t="s">
        <v>170</v>
      </c>
      <c r="K68" s="1" t="s">
        <v>241</v>
      </c>
      <c r="L68" s="1" t="s">
        <v>173</v>
      </c>
      <c r="M68" s="1" t="s">
        <v>600</v>
      </c>
      <c r="N68" s="1" t="s">
        <v>497</v>
      </c>
      <c r="O68" s="2">
        <v>2.0220866465168572</v>
      </c>
      <c r="P68" s="2">
        <v>1.1271981722700211</v>
      </c>
      <c r="Q68" s="2">
        <v>1.7023014302808299</v>
      </c>
      <c r="R68" s="2">
        <v>2.6472890357899228</v>
      </c>
      <c r="S68" s="2">
        <v>1.2645896086350326</v>
      </c>
      <c r="T68" s="2">
        <v>2.1978403283026036</v>
      </c>
      <c r="U68" s="2">
        <f t="shared" ref="U68:U131" si="2">AVERAGE(O68:T68)</f>
        <v>1.8268842036325446</v>
      </c>
      <c r="V68" s="3">
        <f t="shared" ref="V68:V131" si="3">STDEV(O68:T68)</f>
        <v>0.57793306709837344</v>
      </c>
      <c r="W68" s="1">
        <f>_xlfn.T.TEST(O68:T68,O69:T69,2,3)</f>
        <v>0.15833341638644677</v>
      </c>
    </row>
    <row r="69" spans="1:23" x14ac:dyDescent="0.3">
      <c r="A69" s="1">
        <v>68</v>
      </c>
      <c r="B69" s="1" t="s">
        <v>242</v>
      </c>
      <c r="C69" s="1">
        <v>301</v>
      </c>
      <c r="D69" s="1">
        <v>1</v>
      </c>
      <c r="E69" s="1" t="s">
        <v>239</v>
      </c>
      <c r="F69" s="1">
        <v>128568530</v>
      </c>
      <c r="G69" s="1" t="s">
        <v>14</v>
      </c>
      <c r="H69" s="1" t="s">
        <v>72</v>
      </c>
      <c r="I69" s="1">
        <v>0.115</v>
      </c>
      <c r="J69" s="1" t="s">
        <v>170</v>
      </c>
      <c r="K69" s="1" t="s">
        <v>241</v>
      </c>
      <c r="L69" s="1" t="s">
        <v>173</v>
      </c>
      <c r="M69" s="1" t="s">
        <v>600</v>
      </c>
      <c r="N69" s="1" t="s">
        <v>498</v>
      </c>
      <c r="O69" s="2">
        <v>1.3712983743928906</v>
      </c>
      <c r="P69" s="2">
        <v>2.119224205995466</v>
      </c>
      <c r="Q69" s="2">
        <v>1.5352418321505188</v>
      </c>
      <c r="R69" s="2">
        <v>0.71018619325518129</v>
      </c>
      <c r="S69" s="2">
        <v>1.0909158114518913</v>
      </c>
      <c r="T69" s="2">
        <v>1.3442328800228527</v>
      </c>
      <c r="U69" s="2">
        <f t="shared" si="2"/>
        <v>1.3618498828781334</v>
      </c>
      <c r="V69" s="3">
        <f t="shared" si="3"/>
        <v>0.46949996839276265</v>
      </c>
      <c r="W69" s="1" t="s">
        <v>561</v>
      </c>
    </row>
    <row r="70" spans="1:23" x14ac:dyDescent="0.3">
      <c r="A70" s="1">
        <v>69</v>
      </c>
      <c r="B70" s="1" t="s">
        <v>244</v>
      </c>
      <c r="C70" s="1">
        <v>301</v>
      </c>
      <c r="D70" s="1">
        <v>1</v>
      </c>
      <c r="E70" s="1" t="s">
        <v>245</v>
      </c>
      <c r="F70" s="1">
        <v>93590965</v>
      </c>
      <c r="G70" s="1" t="s">
        <v>15</v>
      </c>
      <c r="H70" s="1" t="s">
        <v>24</v>
      </c>
      <c r="I70" s="1">
        <v>0.48299999999999998</v>
      </c>
      <c r="J70" s="1" t="s">
        <v>36</v>
      </c>
      <c r="K70" s="1" t="s">
        <v>247</v>
      </c>
      <c r="L70" s="1" t="s">
        <v>75</v>
      </c>
      <c r="M70" s="1" t="s">
        <v>601</v>
      </c>
      <c r="N70" s="1" t="s">
        <v>499</v>
      </c>
      <c r="O70" s="2">
        <v>1.1240376428976382</v>
      </c>
      <c r="P70" s="2">
        <v>1.0782790850069939</v>
      </c>
      <c r="Q70" s="2">
        <v>0.61787821629819684</v>
      </c>
      <c r="R70" s="2">
        <v>1.4281350188546607</v>
      </c>
      <c r="S70" s="2">
        <v>0.92321047648619747</v>
      </c>
      <c r="T70" s="2">
        <v>1.1100983579351393</v>
      </c>
      <c r="U70" s="2">
        <f t="shared" si="2"/>
        <v>1.0469397995798044</v>
      </c>
      <c r="V70" s="3">
        <f t="shared" si="3"/>
        <v>0.26669376242732062</v>
      </c>
      <c r="W70" s="1">
        <f>_xlfn.T.TEST(O70:T70,O71:T71,2,3)</f>
        <v>0.46457922261017737</v>
      </c>
    </row>
    <row r="71" spans="1:23" x14ac:dyDescent="0.3">
      <c r="A71" s="1">
        <v>70</v>
      </c>
      <c r="B71" s="1" t="s">
        <v>248</v>
      </c>
      <c r="C71" s="1">
        <v>301</v>
      </c>
      <c r="D71" s="1">
        <v>1</v>
      </c>
      <c r="E71" s="1" t="s">
        <v>245</v>
      </c>
      <c r="F71" s="1">
        <v>93590965</v>
      </c>
      <c r="G71" s="1" t="s">
        <v>15</v>
      </c>
      <c r="H71" s="1" t="s">
        <v>24</v>
      </c>
      <c r="I71" s="1">
        <v>0.48299999999999998</v>
      </c>
      <c r="J71" s="1" t="s">
        <v>36</v>
      </c>
      <c r="K71" s="1" t="s">
        <v>247</v>
      </c>
      <c r="L71" s="1" t="s">
        <v>75</v>
      </c>
      <c r="M71" s="1" t="s">
        <v>601</v>
      </c>
      <c r="N71" s="1" t="s">
        <v>500</v>
      </c>
      <c r="O71" s="2">
        <v>1.4257889812801561</v>
      </c>
      <c r="P71" s="2">
        <v>0.8854853349216788</v>
      </c>
      <c r="Q71" s="2">
        <v>0.92381177244789281</v>
      </c>
      <c r="R71" s="2">
        <v>0.6098274762453203</v>
      </c>
      <c r="S71" s="2">
        <v>1.0881885219232617</v>
      </c>
      <c r="T71" s="2">
        <v>0.57784113024869599</v>
      </c>
      <c r="U71" s="2">
        <f t="shared" si="2"/>
        <v>0.91849053617783427</v>
      </c>
      <c r="V71" s="3">
        <f t="shared" si="3"/>
        <v>0.31577893532072948</v>
      </c>
      <c r="W71" s="1" t="s">
        <v>561</v>
      </c>
    </row>
    <row r="72" spans="1:23" x14ac:dyDescent="0.3">
      <c r="A72" s="1">
        <v>71</v>
      </c>
      <c r="B72" s="1" t="s">
        <v>250</v>
      </c>
      <c r="C72" s="1">
        <v>301</v>
      </c>
      <c r="D72" s="1">
        <v>1</v>
      </c>
      <c r="E72" s="1" t="s">
        <v>251</v>
      </c>
      <c r="F72" s="1">
        <v>96192843</v>
      </c>
      <c r="G72" s="1" t="s">
        <v>14</v>
      </c>
      <c r="H72" s="1" t="s">
        <v>72</v>
      </c>
      <c r="I72" s="1">
        <v>0.215</v>
      </c>
      <c r="J72" s="1" t="s">
        <v>36</v>
      </c>
      <c r="K72" s="1" t="s">
        <v>253</v>
      </c>
      <c r="L72" s="1" t="s">
        <v>188</v>
      </c>
      <c r="M72" s="1" t="s">
        <v>602</v>
      </c>
      <c r="N72" s="1" t="s">
        <v>501</v>
      </c>
      <c r="O72" s="2">
        <v>1.0361130588236136</v>
      </c>
      <c r="P72" s="2">
        <v>1.1825709903027006</v>
      </c>
      <c r="Q72" s="2">
        <v>2.0670099412659808</v>
      </c>
      <c r="R72" s="2">
        <v>2.1396139181058724</v>
      </c>
      <c r="S72" s="2">
        <v>0.79716135908331953</v>
      </c>
      <c r="T72" s="2">
        <v>0.94408338480386045</v>
      </c>
      <c r="U72" s="2">
        <f t="shared" si="2"/>
        <v>1.3610921087308911</v>
      </c>
      <c r="V72" s="3">
        <f t="shared" si="3"/>
        <v>0.58886527029471603</v>
      </c>
      <c r="W72" s="1">
        <f>_xlfn.T.TEST(O72:T72,O73:T73,2,3)</f>
        <v>0.53899240420766836</v>
      </c>
    </row>
    <row r="73" spans="1:23" x14ac:dyDescent="0.3">
      <c r="A73" s="1">
        <v>72</v>
      </c>
      <c r="B73" s="1" t="s">
        <v>254</v>
      </c>
      <c r="C73" s="1">
        <v>301</v>
      </c>
      <c r="D73" s="1">
        <v>1</v>
      </c>
      <c r="E73" s="1" t="s">
        <v>251</v>
      </c>
      <c r="F73" s="1">
        <v>96192843</v>
      </c>
      <c r="G73" s="1" t="s">
        <v>14</v>
      </c>
      <c r="H73" s="1" t="s">
        <v>72</v>
      </c>
      <c r="I73" s="1">
        <v>0.215</v>
      </c>
      <c r="J73" s="1" t="s">
        <v>36</v>
      </c>
      <c r="K73" s="1" t="s">
        <v>253</v>
      </c>
      <c r="L73" s="1" t="s">
        <v>188</v>
      </c>
      <c r="M73" s="1" t="s">
        <v>602</v>
      </c>
      <c r="N73" s="1" t="s">
        <v>502</v>
      </c>
      <c r="O73" s="2">
        <v>1.4572517560959017</v>
      </c>
      <c r="P73" s="2">
        <v>1.1660610054790432</v>
      </c>
      <c r="Q73" s="2">
        <v>1.2749867955359617</v>
      </c>
      <c r="R73" s="2">
        <v>1.2800108808125352</v>
      </c>
      <c r="S73" s="2">
        <v>1.2736113509600997</v>
      </c>
      <c r="T73" s="2">
        <v>0.69520777325073835</v>
      </c>
      <c r="U73" s="2">
        <f t="shared" si="2"/>
        <v>1.1911882603557131</v>
      </c>
      <c r="V73" s="3">
        <f t="shared" si="3"/>
        <v>0.26043157433766323</v>
      </c>
      <c r="W73" s="1" t="s">
        <v>561</v>
      </c>
    </row>
    <row r="74" spans="1:23" x14ac:dyDescent="0.3">
      <c r="A74" s="1">
        <v>73</v>
      </c>
      <c r="B74" s="1" t="s">
        <v>256</v>
      </c>
      <c r="C74" s="1">
        <v>301</v>
      </c>
      <c r="D74" s="1">
        <v>1</v>
      </c>
      <c r="E74" s="1" t="s">
        <v>257</v>
      </c>
      <c r="F74" s="1">
        <v>96198310</v>
      </c>
      <c r="G74" s="1" t="s">
        <v>14</v>
      </c>
      <c r="H74" s="1" t="s">
        <v>15</v>
      </c>
      <c r="I74" s="1">
        <v>0.123</v>
      </c>
      <c r="J74" s="1" t="s">
        <v>36</v>
      </c>
      <c r="K74" s="1" t="s">
        <v>259</v>
      </c>
      <c r="L74" s="1" t="s">
        <v>39</v>
      </c>
      <c r="M74" s="1" t="s">
        <v>602</v>
      </c>
      <c r="N74" s="1" t="s">
        <v>503</v>
      </c>
      <c r="O74" s="2">
        <v>0.64688560818939511</v>
      </c>
      <c r="P74" s="2">
        <v>0.83495467280917179</v>
      </c>
      <c r="Q74" s="2">
        <v>0.57004878091334432</v>
      </c>
      <c r="R74" s="2">
        <v>1.1776441860563913</v>
      </c>
      <c r="S74" s="2">
        <v>0.72160019006968057</v>
      </c>
      <c r="T74" s="2">
        <v>0.51906777877089139</v>
      </c>
      <c r="U74" s="2">
        <f t="shared" si="2"/>
        <v>0.74503353613481238</v>
      </c>
      <c r="V74" s="3">
        <f t="shared" si="3"/>
        <v>0.23962475280118078</v>
      </c>
      <c r="W74" s="1">
        <f>_xlfn.T.TEST(O74:T74,O75:T75,2,3)</f>
        <v>1.630847391271114E-2</v>
      </c>
    </row>
    <row r="75" spans="1:23" x14ac:dyDescent="0.3">
      <c r="A75" s="1">
        <v>74</v>
      </c>
      <c r="B75" s="1" t="s">
        <v>260</v>
      </c>
      <c r="C75" s="1">
        <v>301</v>
      </c>
      <c r="D75" s="1">
        <v>1</v>
      </c>
      <c r="E75" s="1" t="s">
        <v>257</v>
      </c>
      <c r="F75" s="1">
        <v>96198310</v>
      </c>
      <c r="G75" s="1" t="s">
        <v>14</v>
      </c>
      <c r="H75" s="1" t="s">
        <v>15</v>
      </c>
      <c r="I75" s="1">
        <v>0.123</v>
      </c>
      <c r="J75" s="1" t="s">
        <v>36</v>
      </c>
      <c r="K75" s="1" t="s">
        <v>259</v>
      </c>
      <c r="L75" s="1" t="s">
        <v>39</v>
      </c>
      <c r="M75" s="1" t="s">
        <v>602</v>
      </c>
      <c r="N75" s="1" t="s">
        <v>504</v>
      </c>
      <c r="O75" s="2">
        <v>0.94882001032830054</v>
      </c>
      <c r="P75" s="2">
        <v>0.96057178255988185</v>
      </c>
      <c r="Q75" s="2">
        <v>1.2068047673702496</v>
      </c>
      <c r="R75" s="2">
        <v>1.1461657792388453</v>
      </c>
      <c r="S75" s="2">
        <v>1.0375751022989239</v>
      </c>
      <c r="T75" s="2">
        <v>1.2020687160780215</v>
      </c>
      <c r="U75" s="2">
        <f t="shared" si="2"/>
        <v>1.0836676929790372</v>
      </c>
      <c r="V75" s="3">
        <f t="shared" si="3"/>
        <v>0.11708849622439478</v>
      </c>
      <c r="W75" s="1" t="s">
        <v>561</v>
      </c>
    </row>
    <row r="76" spans="1:23" x14ac:dyDescent="0.3">
      <c r="A76" s="1">
        <v>75</v>
      </c>
      <c r="B76" s="1" t="s">
        <v>262</v>
      </c>
      <c r="C76" s="1">
        <v>301</v>
      </c>
      <c r="D76" s="1">
        <v>1</v>
      </c>
      <c r="E76" s="1" t="s">
        <v>263</v>
      </c>
      <c r="F76" s="1">
        <v>96204171</v>
      </c>
      <c r="G76" s="1" t="s">
        <v>72</v>
      </c>
      <c r="H76" s="1" t="s">
        <v>24</v>
      </c>
      <c r="I76" s="1">
        <v>9.2999999999999999E-2</v>
      </c>
      <c r="J76" s="1" t="s">
        <v>36</v>
      </c>
      <c r="K76" s="1" t="s">
        <v>259</v>
      </c>
      <c r="L76" s="1" t="s">
        <v>19</v>
      </c>
      <c r="M76" s="1" t="s">
        <v>602</v>
      </c>
      <c r="N76" s="1" t="s">
        <v>505</v>
      </c>
      <c r="O76" s="2">
        <v>0.70258964667237078</v>
      </c>
      <c r="P76" s="2">
        <v>1.2632539271741279</v>
      </c>
      <c r="Q76" s="2">
        <v>1.4938482987039083</v>
      </c>
      <c r="R76" s="2">
        <v>0.53344772032489451</v>
      </c>
      <c r="S76" s="2">
        <v>1.0185673456740083</v>
      </c>
      <c r="T76" s="2">
        <v>0.55273067780229157</v>
      </c>
      <c r="U76" s="2">
        <f t="shared" si="2"/>
        <v>0.92740626939193371</v>
      </c>
      <c r="V76" s="3">
        <f t="shared" si="3"/>
        <v>0.39701088519204192</v>
      </c>
      <c r="W76" s="1">
        <f>_xlfn.T.TEST(O76:T76,O77:T77,2,3)</f>
        <v>0.35210398288368211</v>
      </c>
    </row>
    <row r="77" spans="1:23" x14ac:dyDescent="0.3">
      <c r="A77" s="1">
        <v>76</v>
      </c>
      <c r="B77" s="1" t="s">
        <v>265</v>
      </c>
      <c r="C77" s="1">
        <v>301</v>
      </c>
      <c r="D77" s="1">
        <v>1</v>
      </c>
      <c r="E77" s="1" t="s">
        <v>263</v>
      </c>
      <c r="F77" s="1">
        <v>96204171</v>
      </c>
      <c r="G77" s="1" t="s">
        <v>72</v>
      </c>
      <c r="H77" s="1" t="s">
        <v>24</v>
      </c>
      <c r="I77" s="1">
        <v>9.2999999999999999E-2</v>
      </c>
      <c r="J77" s="1" t="s">
        <v>36</v>
      </c>
      <c r="K77" s="1" t="s">
        <v>259</v>
      </c>
      <c r="L77" s="1" t="s">
        <v>19</v>
      </c>
      <c r="M77" s="1" t="s">
        <v>602</v>
      </c>
      <c r="N77" s="1" t="s">
        <v>506</v>
      </c>
      <c r="O77" s="2">
        <v>1.2524424136333567</v>
      </c>
      <c r="P77" s="2">
        <v>1.6468598317610357</v>
      </c>
      <c r="Q77" s="2">
        <v>2.2808513048503571</v>
      </c>
      <c r="R77" s="2">
        <v>0.21633225114498431</v>
      </c>
      <c r="S77" s="2">
        <v>1.6333864223594596</v>
      </c>
      <c r="T77" s="2">
        <v>0.60549011142033626</v>
      </c>
      <c r="U77" s="2">
        <f t="shared" si="2"/>
        <v>1.2725603891949218</v>
      </c>
      <c r="V77" s="3">
        <f t="shared" si="3"/>
        <v>0.75471205602497549</v>
      </c>
      <c r="W77" s="1" t="s">
        <v>561</v>
      </c>
    </row>
    <row r="78" spans="1:23" x14ac:dyDescent="0.3">
      <c r="A78" s="1">
        <v>77</v>
      </c>
      <c r="B78" s="1" t="s">
        <v>267</v>
      </c>
      <c r="C78" s="1">
        <v>301</v>
      </c>
      <c r="D78" s="1">
        <v>1</v>
      </c>
      <c r="E78" s="1" t="s">
        <v>268</v>
      </c>
      <c r="F78" s="1">
        <v>96208442</v>
      </c>
      <c r="G78" s="1" t="s">
        <v>72</v>
      </c>
      <c r="H78" s="1" t="s">
        <v>15</v>
      </c>
      <c r="I78" s="1">
        <v>0.13200000000000001</v>
      </c>
      <c r="J78" s="1" t="s">
        <v>36</v>
      </c>
      <c r="K78" s="1" t="s">
        <v>259</v>
      </c>
      <c r="L78" s="1" t="s">
        <v>39</v>
      </c>
      <c r="M78" s="1" t="s">
        <v>602</v>
      </c>
      <c r="N78" s="1" t="s">
        <v>507</v>
      </c>
      <c r="O78" s="2">
        <v>5.2901864777835845</v>
      </c>
      <c r="P78" s="2">
        <v>3.6360241565221436</v>
      </c>
      <c r="Q78" s="2">
        <v>2.9205257321050713</v>
      </c>
      <c r="R78" s="2">
        <v>4.9550610013966487</v>
      </c>
      <c r="S78" s="2">
        <v>12.521035952115621</v>
      </c>
      <c r="T78" s="2">
        <v>10.303785066960883</v>
      </c>
      <c r="U78" s="2">
        <f t="shared" si="2"/>
        <v>6.6044363978139922</v>
      </c>
      <c r="V78" s="3">
        <f t="shared" si="3"/>
        <v>3.8864300312668214</v>
      </c>
      <c r="W78" s="1">
        <f>_xlfn.T.TEST(O78:T78,O79:T79,2,3)</f>
        <v>0.57345671914412122</v>
      </c>
    </row>
    <row r="79" spans="1:23" x14ac:dyDescent="0.3">
      <c r="A79" s="1">
        <v>78</v>
      </c>
      <c r="B79" s="1" t="s">
        <v>270</v>
      </c>
      <c r="C79" s="1">
        <v>301</v>
      </c>
      <c r="D79" s="1">
        <v>1</v>
      </c>
      <c r="E79" s="1" t="s">
        <v>268</v>
      </c>
      <c r="F79" s="1">
        <v>96208442</v>
      </c>
      <c r="G79" s="1" t="s">
        <v>72</v>
      </c>
      <c r="H79" s="1" t="s">
        <v>15</v>
      </c>
      <c r="I79" s="1">
        <v>0.13200000000000001</v>
      </c>
      <c r="J79" s="1" t="s">
        <v>36</v>
      </c>
      <c r="K79" s="1" t="s">
        <v>259</v>
      </c>
      <c r="L79" s="1" t="s">
        <v>39</v>
      </c>
      <c r="M79" s="1" t="s">
        <v>602</v>
      </c>
      <c r="N79" s="1" t="s">
        <v>508</v>
      </c>
      <c r="O79" s="2">
        <v>4.1819886489204308</v>
      </c>
      <c r="P79" s="2">
        <v>4.6741576358104631</v>
      </c>
      <c r="Q79" s="2">
        <v>6.3968019918728558</v>
      </c>
      <c r="R79" s="2">
        <v>6.3108450526632058</v>
      </c>
      <c r="S79" s="2">
        <v>6.0792654856048136</v>
      </c>
      <c r="T79" s="2">
        <v>6.126795483433888</v>
      </c>
      <c r="U79" s="2">
        <f t="shared" si="2"/>
        <v>5.6283090497176103</v>
      </c>
      <c r="V79" s="3">
        <f t="shared" si="3"/>
        <v>0.94979311974237313</v>
      </c>
      <c r="W79" s="1" t="s">
        <v>561</v>
      </c>
    </row>
    <row r="80" spans="1:23" x14ac:dyDescent="0.3">
      <c r="A80" s="1">
        <v>79</v>
      </c>
      <c r="B80" s="1" t="s">
        <v>272</v>
      </c>
      <c r="C80" s="1">
        <v>301</v>
      </c>
      <c r="D80" s="1">
        <v>1</v>
      </c>
      <c r="E80" s="1" t="s">
        <v>273</v>
      </c>
      <c r="F80" s="1">
        <v>96213111</v>
      </c>
      <c r="G80" s="1" t="s">
        <v>14</v>
      </c>
      <c r="H80" s="1" t="s">
        <v>72</v>
      </c>
      <c r="I80" s="1">
        <v>0.13400000000000001</v>
      </c>
      <c r="J80" s="1" t="s">
        <v>36</v>
      </c>
      <c r="K80" s="1" t="s">
        <v>275</v>
      </c>
      <c r="L80" s="1" t="s">
        <v>173</v>
      </c>
      <c r="M80" s="1" t="s">
        <v>602</v>
      </c>
      <c r="N80" s="1" t="s">
        <v>509</v>
      </c>
      <c r="O80" s="2">
        <v>0.74488597371586973</v>
      </c>
      <c r="P80" s="2">
        <v>0.5951877662697469</v>
      </c>
      <c r="Q80" s="2">
        <v>0.62168750492322145</v>
      </c>
      <c r="R80" s="2">
        <v>2.195679722727645</v>
      </c>
      <c r="S80" s="2">
        <v>1.4873164919020359</v>
      </c>
      <c r="T80" s="2">
        <v>2.3551349119242668</v>
      </c>
      <c r="U80" s="2">
        <f t="shared" si="2"/>
        <v>1.3333153952437977</v>
      </c>
      <c r="V80" s="3">
        <f t="shared" si="3"/>
        <v>0.80112415152888417</v>
      </c>
      <c r="W80" s="1">
        <f>_xlfn.T.TEST(O80:T80,O81:T81,2,3)</f>
        <v>0.11389210838546671</v>
      </c>
    </row>
    <row r="81" spans="1:23" x14ac:dyDescent="0.3">
      <c r="A81" s="1">
        <v>80</v>
      </c>
      <c r="B81" s="1" t="s">
        <v>276</v>
      </c>
      <c r="C81" s="1">
        <v>301</v>
      </c>
      <c r="D81" s="1">
        <v>1</v>
      </c>
      <c r="E81" s="1" t="s">
        <v>273</v>
      </c>
      <c r="F81" s="1">
        <v>96213111</v>
      </c>
      <c r="G81" s="1" t="s">
        <v>14</v>
      </c>
      <c r="H81" s="1" t="s">
        <v>72</v>
      </c>
      <c r="I81" s="1">
        <v>0.13400000000000001</v>
      </c>
      <c r="J81" s="1" t="s">
        <v>36</v>
      </c>
      <c r="K81" s="1" t="s">
        <v>275</v>
      </c>
      <c r="L81" s="1" t="s">
        <v>173</v>
      </c>
      <c r="M81" s="1" t="s">
        <v>602</v>
      </c>
      <c r="N81" s="1" t="s">
        <v>510</v>
      </c>
      <c r="O81" s="2">
        <v>0.61702951916037985</v>
      </c>
      <c r="P81" s="2">
        <v>0.42900026845460015</v>
      </c>
      <c r="Q81" s="2">
        <v>0.34680290614145121</v>
      </c>
      <c r="R81" s="2">
        <v>0.67349203649118772</v>
      </c>
      <c r="S81" s="2">
        <v>1.2336448771150141</v>
      </c>
      <c r="T81" s="2">
        <v>0.84706775116955235</v>
      </c>
      <c r="U81" s="2">
        <f t="shared" si="2"/>
        <v>0.69117289308869756</v>
      </c>
      <c r="V81" s="3">
        <f t="shared" si="3"/>
        <v>0.31991063934623115</v>
      </c>
      <c r="W81" s="1" t="s">
        <v>561</v>
      </c>
    </row>
    <row r="82" spans="1:23" x14ac:dyDescent="0.3">
      <c r="A82" s="1">
        <v>81</v>
      </c>
      <c r="B82" s="1" t="s">
        <v>278</v>
      </c>
      <c r="C82" s="1">
        <v>301</v>
      </c>
      <c r="D82" s="1">
        <v>1</v>
      </c>
      <c r="E82" s="1" t="s">
        <v>279</v>
      </c>
      <c r="F82" s="1">
        <v>103928436</v>
      </c>
      <c r="G82" s="1" t="s">
        <v>24</v>
      </c>
      <c r="H82" s="1" t="s">
        <v>15</v>
      </c>
      <c r="I82" s="1">
        <v>0.29899999999999999</v>
      </c>
      <c r="J82" s="1" t="s">
        <v>16</v>
      </c>
      <c r="K82" s="1" t="s">
        <v>281</v>
      </c>
      <c r="L82" s="1" t="s">
        <v>54</v>
      </c>
      <c r="M82" s="1" t="s">
        <v>603</v>
      </c>
      <c r="N82" s="1" t="s">
        <v>511</v>
      </c>
      <c r="O82" s="2">
        <v>0.27435118249021723</v>
      </c>
      <c r="P82" s="2">
        <v>0.37226628388486155</v>
      </c>
      <c r="Q82" s="2">
        <v>0.26432762114731967</v>
      </c>
      <c r="R82" s="2">
        <v>0.59826399795604868</v>
      </c>
      <c r="S82" s="2">
        <v>0.59694913202647493</v>
      </c>
      <c r="T82" s="2">
        <v>0.67069673880406477</v>
      </c>
      <c r="U82" s="2">
        <f t="shared" si="2"/>
        <v>0.46280915938483114</v>
      </c>
      <c r="V82" s="3">
        <f t="shared" si="3"/>
        <v>0.18037080340763931</v>
      </c>
      <c r="W82" s="1">
        <f>_xlfn.T.TEST(O82:T82,O83:T83,2,3)</f>
        <v>9.0690280581032678E-2</v>
      </c>
    </row>
    <row r="83" spans="1:23" x14ac:dyDescent="0.3">
      <c r="A83" s="1">
        <v>82</v>
      </c>
      <c r="B83" s="1" t="s">
        <v>282</v>
      </c>
      <c r="C83" s="1">
        <v>301</v>
      </c>
      <c r="D83" s="1">
        <v>1</v>
      </c>
      <c r="E83" s="1" t="s">
        <v>279</v>
      </c>
      <c r="F83" s="1">
        <v>103928436</v>
      </c>
      <c r="G83" s="1" t="s">
        <v>24</v>
      </c>
      <c r="H83" s="1" t="s">
        <v>15</v>
      </c>
      <c r="I83" s="1">
        <v>0.29899999999999999</v>
      </c>
      <c r="J83" s="1" t="s">
        <v>16</v>
      </c>
      <c r="K83" s="1" t="s">
        <v>281</v>
      </c>
      <c r="L83" s="1" t="s">
        <v>54</v>
      </c>
      <c r="M83" s="1" t="s">
        <v>603</v>
      </c>
      <c r="N83" s="1" t="s">
        <v>512</v>
      </c>
      <c r="O83" s="2">
        <v>0.75841310373572313</v>
      </c>
      <c r="P83" s="2">
        <v>0.51558726035422386</v>
      </c>
      <c r="Q83" s="2">
        <v>0.9826702009107362</v>
      </c>
      <c r="R83" s="2">
        <v>1.1684141407418007</v>
      </c>
      <c r="S83" s="2">
        <v>0.47454837798157268</v>
      </c>
      <c r="T83" s="2">
        <v>2.2340000613007085</v>
      </c>
      <c r="U83" s="2">
        <f t="shared" si="2"/>
        <v>1.0222721908374608</v>
      </c>
      <c r="V83" s="3">
        <f t="shared" si="3"/>
        <v>0.65077843095476851</v>
      </c>
      <c r="W83" s="1" t="s">
        <v>561</v>
      </c>
    </row>
    <row r="84" spans="1:23" x14ac:dyDescent="0.3">
      <c r="A84" s="1">
        <v>83</v>
      </c>
      <c r="B84" s="1" t="s">
        <v>284</v>
      </c>
      <c r="C84" s="1">
        <v>301</v>
      </c>
      <c r="D84" s="1">
        <v>1</v>
      </c>
      <c r="E84" s="1" t="s">
        <v>285</v>
      </c>
      <c r="F84" s="1">
        <v>103965276</v>
      </c>
      <c r="G84" s="1" t="s">
        <v>24</v>
      </c>
      <c r="H84" s="1" t="s">
        <v>15</v>
      </c>
      <c r="I84" s="1">
        <v>0.35599999999999998</v>
      </c>
      <c r="J84" s="1" t="s">
        <v>16</v>
      </c>
      <c r="K84" s="1" t="s">
        <v>281</v>
      </c>
      <c r="L84" s="1" t="s">
        <v>54</v>
      </c>
      <c r="M84" s="1" t="s">
        <v>603</v>
      </c>
      <c r="N84" s="1" t="s">
        <v>513</v>
      </c>
      <c r="O84" s="2">
        <v>1.0037354162867385</v>
      </c>
      <c r="P84" s="2">
        <v>0.9458709522933666</v>
      </c>
      <c r="Q84" s="2">
        <v>0.9288842019555783</v>
      </c>
      <c r="R84" s="2">
        <v>0.71925851021708453</v>
      </c>
      <c r="S84" s="2">
        <v>0.85616154782722731</v>
      </c>
      <c r="T84" s="2">
        <v>0.85406878829089039</v>
      </c>
      <c r="U84" s="2">
        <f t="shared" si="2"/>
        <v>0.88466323614514764</v>
      </c>
      <c r="V84" s="3">
        <f t="shared" si="3"/>
        <v>9.8981970330737676E-2</v>
      </c>
      <c r="W84" s="1">
        <f>_xlfn.T.TEST(O84:T84,O85:T85,2,3)</f>
        <v>0.43478840133637348</v>
      </c>
    </row>
    <row r="85" spans="1:23" x14ac:dyDescent="0.3">
      <c r="A85" s="1">
        <v>84</v>
      </c>
      <c r="B85" s="1" t="s">
        <v>287</v>
      </c>
      <c r="C85" s="1">
        <v>301</v>
      </c>
      <c r="D85" s="1">
        <v>1</v>
      </c>
      <c r="E85" s="1" t="s">
        <v>285</v>
      </c>
      <c r="F85" s="1">
        <v>103965276</v>
      </c>
      <c r="G85" s="1" t="s">
        <v>24</v>
      </c>
      <c r="H85" s="1" t="s">
        <v>15</v>
      </c>
      <c r="I85" s="1">
        <v>0.35599999999999998</v>
      </c>
      <c r="J85" s="1" t="s">
        <v>16</v>
      </c>
      <c r="K85" s="1" t="s">
        <v>281</v>
      </c>
      <c r="L85" s="1" t="s">
        <v>54</v>
      </c>
      <c r="M85" s="1" t="s">
        <v>603</v>
      </c>
      <c r="N85" s="1" t="s">
        <v>514</v>
      </c>
      <c r="O85" s="2">
        <v>0.59828583937753443</v>
      </c>
      <c r="P85" s="2">
        <v>0.79332141947288737</v>
      </c>
      <c r="Q85" s="2">
        <v>0.59644489195264927</v>
      </c>
      <c r="R85" s="2">
        <v>1.2383544238143733</v>
      </c>
      <c r="S85" s="2">
        <v>1.3430430828197875</v>
      </c>
      <c r="T85" s="2">
        <v>1.6813046565308554</v>
      </c>
      <c r="U85" s="2">
        <f t="shared" si="2"/>
        <v>1.0417923856613478</v>
      </c>
      <c r="V85" s="3">
        <f t="shared" si="3"/>
        <v>0.44612438394731024</v>
      </c>
      <c r="W85" s="1" t="s">
        <v>561</v>
      </c>
    </row>
    <row r="86" spans="1:23" x14ac:dyDescent="0.3">
      <c r="A86" s="1">
        <v>85</v>
      </c>
      <c r="B86" s="1" t="s">
        <v>289</v>
      </c>
      <c r="C86" s="1">
        <v>301</v>
      </c>
      <c r="D86" s="1">
        <v>1</v>
      </c>
      <c r="E86" s="1" t="s">
        <v>290</v>
      </c>
      <c r="F86" s="1">
        <v>116662408</v>
      </c>
      <c r="G86" s="1" t="s">
        <v>14</v>
      </c>
      <c r="H86" s="1" t="s">
        <v>72</v>
      </c>
      <c r="I86" s="1">
        <v>0.10100000000000001</v>
      </c>
      <c r="J86" s="1" t="s">
        <v>36</v>
      </c>
      <c r="K86" s="1" t="s">
        <v>292</v>
      </c>
      <c r="L86" s="1" t="s">
        <v>47</v>
      </c>
      <c r="M86" s="1" t="s">
        <v>604</v>
      </c>
      <c r="N86" s="1" t="s">
        <v>515</v>
      </c>
      <c r="O86" s="2">
        <v>0.74713453780522032</v>
      </c>
      <c r="P86" s="2">
        <v>1.052415528642106</v>
      </c>
      <c r="Q86" s="2">
        <v>1.1004558083713232</v>
      </c>
      <c r="R86" s="2">
        <v>0.96214723423807391</v>
      </c>
      <c r="S86" s="2">
        <v>0.72958094083491398</v>
      </c>
      <c r="T86" s="2">
        <v>1.1432255634047397</v>
      </c>
      <c r="U86" s="2">
        <f t="shared" si="2"/>
        <v>0.95582660221606297</v>
      </c>
      <c r="V86" s="3">
        <f t="shared" si="3"/>
        <v>0.1789663801203118</v>
      </c>
      <c r="W86" s="1">
        <f>_xlfn.T.TEST(O86:T86,O87:T87,2,3)</f>
        <v>0.69508254116008095</v>
      </c>
    </row>
    <row r="87" spans="1:23" x14ac:dyDescent="0.3">
      <c r="A87" s="1">
        <v>86</v>
      </c>
      <c r="B87" s="1" t="s">
        <v>293</v>
      </c>
      <c r="C87" s="1">
        <v>301</v>
      </c>
      <c r="D87" s="1">
        <v>1</v>
      </c>
      <c r="E87" s="1" t="s">
        <v>290</v>
      </c>
      <c r="F87" s="1">
        <v>116662408</v>
      </c>
      <c r="G87" s="1" t="s">
        <v>14</v>
      </c>
      <c r="H87" s="1" t="s">
        <v>72</v>
      </c>
      <c r="I87" s="1">
        <v>0.10100000000000001</v>
      </c>
      <c r="J87" s="1" t="s">
        <v>36</v>
      </c>
      <c r="K87" s="1" t="s">
        <v>292</v>
      </c>
      <c r="L87" s="1" t="s">
        <v>47</v>
      </c>
      <c r="M87" s="1" t="s">
        <v>604</v>
      </c>
      <c r="N87" s="1" t="s">
        <v>516</v>
      </c>
      <c r="O87" s="2">
        <v>0.62870696234738987</v>
      </c>
      <c r="P87" s="2">
        <v>1.8139536207277718</v>
      </c>
      <c r="Q87" s="2">
        <v>0.64955765114934394</v>
      </c>
      <c r="R87" s="2">
        <v>0.76187201534910465</v>
      </c>
      <c r="S87" s="2">
        <v>0.50203544078913664</v>
      </c>
      <c r="T87" s="2">
        <v>0.86545987708516703</v>
      </c>
      <c r="U87" s="2">
        <f t="shared" si="2"/>
        <v>0.87026426124131895</v>
      </c>
      <c r="V87" s="3">
        <f t="shared" si="3"/>
        <v>0.47853429738806763</v>
      </c>
      <c r="W87" s="1" t="s">
        <v>561</v>
      </c>
    </row>
    <row r="88" spans="1:23" x14ac:dyDescent="0.3">
      <c r="A88" s="1">
        <v>87</v>
      </c>
      <c r="B88" s="1" t="s">
        <v>295</v>
      </c>
      <c r="C88" s="1">
        <v>326</v>
      </c>
      <c r="D88" s="1">
        <v>2</v>
      </c>
      <c r="E88" s="1" t="s">
        <v>296</v>
      </c>
      <c r="F88" s="1" t="s">
        <v>297</v>
      </c>
      <c r="G88" s="1" t="s">
        <v>34</v>
      </c>
      <c r="H88" s="1" t="s">
        <v>35</v>
      </c>
      <c r="I88" s="1" t="s">
        <v>574</v>
      </c>
      <c r="J88" s="1" t="s">
        <v>36</v>
      </c>
      <c r="K88" s="1" t="s">
        <v>292</v>
      </c>
      <c r="L88" s="1" t="s">
        <v>118</v>
      </c>
      <c r="M88" s="1" t="s">
        <v>604</v>
      </c>
      <c r="N88" s="1" t="s">
        <v>517</v>
      </c>
      <c r="O88" s="2">
        <v>0.88440958216290355</v>
      </c>
      <c r="P88" s="2">
        <v>1.1928805789406101</v>
      </c>
      <c r="Q88" s="2">
        <v>0.90019764249248668</v>
      </c>
      <c r="R88" s="2">
        <v>0.91535290042879502</v>
      </c>
      <c r="S88" s="2">
        <v>0.97433003163626508</v>
      </c>
      <c r="T88" s="2">
        <v>0.92884663121306965</v>
      </c>
      <c r="U88" s="2">
        <f t="shared" si="2"/>
        <v>0.96600289447902166</v>
      </c>
      <c r="V88" s="3">
        <f t="shared" si="3"/>
        <v>0.11530536372674979</v>
      </c>
      <c r="W88" s="1">
        <f>_xlfn.T.TEST(O88:T88,O89:T89,2,3)</f>
        <v>6.2699850521915512E-2</v>
      </c>
    </row>
    <row r="89" spans="1:23" x14ac:dyDescent="0.3">
      <c r="A89" s="1">
        <v>88</v>
      </c>
      <c r="B89" s="1" t="s">
        <v>299</v>
      </c>
      <c r="C89" s="1">
        <v>326</v>
      </c>
      <c r="D89" s="1">
        <v>2</v>
      </c>
      <c r="E89" s="1" t="s">
        <v>296</v>
      </c>
      <c r="F89" s="1" t="s">
        <v>297</v>
      </c>
      <c r="G89" s="1" t="s">
        <v>34</v>
      </c>
      <c r="H89" s="1" t="s">
        <v>35</v>
      </c>
      <c r="I89" s="1" t="s">
        <v>574</v>
      </c>
      <c r="J89" s="1" t="s">
        <v>36</v>
      </c>
      <c r="K89" s="1" t="s">
        <v>292</v>
      </c>
      <c r="L89" s="1" t="s">
        <v>118</v>
      </c>
      <c r="M89" s="1" t="s">
        <v>604</v>
      </c>
      <c r="N89" s="1" t="s">
        <v>518</v>
      </c>
      <c r="O89" s="2">
        <v>1.941210951464782</v>
      </c>
      <c r="P89" s="2">
        <v>1.3677641263874112</v>
      </c>
      <c r="Q89" s="2">
        <v>1.1016197390012572</v>
      </c>
      <c r="R89" s="2">
        <v>1.3442924252224104</v>
      </c>
      <c r="S89" s="2">
        <v>0.99523712962783206</v>
      </c>
      <c r="T89" s="2">
        <v>1.0776915265349343</v>
      </c>
      <c r="U89" s="2">
        <f t="shared" si="2"/>
        <v>1.3046359830397714</v>
      </c>
      <c r="V89" s="3">
        <f t="shared" si="3"/>
        <v>0.34618853779084358</v>
      </c>
      <c r="W89" s="1" t="s">
        <v>561</v>
      </c>
    </row>
    <row r="90" spans="1:23" x14ac:dyDescent="0.3">
      <c r="A90" s="1">
        <v>89</v>
      </c>
      <c r="B90" s="1" t="s">
        <v>301</v>
      </c>
      <c r="C90" s="1">
        <v>301</v>
      </c>
      <c r="D90" s="1">
        <v>1</v>
      </c>
      <c r="E90" s="1" t="s">
        <v>302</v>
      </c>
      <c r="F90" s="1">
        <v>116674322</v>
      </c>
      <c r="G90" s="1" t="s">
        <v>15</v>
      </c>
      <c r="H90" s="1" t="s">
        <v>72</v>
      </c>
      <c r="I90" s="1">
        <v>8.7999999999999995E-2</v>
      </c>
      <c r="J90" s="1" t="s">
        <v>36</v>
      </c>
      <c r="K90" s="1" t="s">
        <v>304</v>
      </c>
      <c r="L90" s="1" t="s">
        <v>19</v>
      </c>
      <c r="M90" s="1" t="s">
        <v>604</v>
      </c>
      <c r="N90" s="1" t="s">
        <v>519</v>
      </c>
      <c r="O90" s="2">
        <v>1.3369279681333848</v>
      </c>
      <c r="P90" s="2">
        <v>2.6457157172058268</v>
      </c>
      <c r="Q90" s="2">
        <v>1.1246331590277279</v>
      </c>
      <c r="R90" s="2">
        <v>2.3245559064062866</v>
      </c>
      <c r="S90" s="2">
        <v>2.9045031871922347</v>
      </c>
      <c r="T90" s="2">
        <v>3.1442971614900252</v>
      </c>
      <c r="U90" s="2">
        <f t="shared" si="2"/>
        <v>2.2467721832425811</v>
      </c>
      <c r="V90" s="3">
        <f t="shared" si="3"/>
        <v>0.83550941304673765</v>
      </c>
      <c r="W90" s="1">
        <f>_xlfn.T.TEST(O90:T90,O91:T91,2,3)</f>
        <v>0.87516413831679329</v>
      </c>
    </row>
    <row r="91" spans="1:23" x14ac:dyDescent="0.3">
      <c r="A91" s="1">
        <v>90</v>
      </c>
      <c r="B91" s="1" t="s">
        <v>305</v>
      </c>
      <c r="C91" s="1">
        <v>301</v>
      </c>
      <c r="D91" s="1">
        <v>1</v>
      </c>
      <c r="E91" s="1" t="s">
        <v>302</v>
      </c>
      <c r="F91" s="1">
        <v>116674322</v>
      </c>
      <c r="G91" s="1" t="s">
        <v>15</v>
      </c>
      <c r="H91" s="1" t="s">
        <v>72</v>
      </c>
      <c r="I91" s="1">
        <v>8.7999999999999995E-2</v>
      </c>
      <c r="J91" s="1" t="s">
        <v>36</v>
      </c>
      <c r="K91" s="1" t="s">
        <v>304</v>
      </c>
      <c r="L91" s="1" t="s">
        <v>19</v>
      </c>
      <c r="M91" s="1" t="s">
        <v>604</v>
      </c>
      <c r="N91" s="1" t="s">
        <v>520</v>
      </c>
      <c r="O91" s="2">
        <v>1.7531409944601919</v>
      </c>
      <c r="P91" s="2">
        <v>1.7748031986256601</v>
      </c>
      <c r="Q91" s="2">
        <v>1.9682023914951396</v>
      </c>
      <c r="R91" s="2">
        <v>1.5396518591178709</v>
      </c>
      <c r="S91" s="2">
        <v>3.0784501174901515</v>
      </c>
      <c r="T91" s="2">
        <v>2.9448900059169576</v>
      </c>
      <c r="U91" s="2">
        <f t="shared" si="2"/>
        <v>2.1765230945176621</v>
      </c>
      <c r="V91" s="3">
        <f t="shared" si="3"/>
        <v>0.66234338956364924</v>
      </c>
      <c r="W91" s="1" t="s">
        <v>561</v>
      </c>
    </row>
    <row r="92" spans="1:23" x14ac:dyDescent="0.3">
      <c r="A92" s="1">
        <v>91</v>
      </c>
      <c r="B92" s="1" t="s">
        <v>307</v>
      </c>
      <c r="C92" s="1">
        <v>301</v>
      </c>
      <c r="D92" s="1">
        <v>1</v>
      </c>
      <c r="E92" s="1" t="s">
        <v>308</v>
      </c>
      <c r="F92" s="1">
        <v>116695595</v>
      </c>
      <c r="G92" s="1" t="s">
        <v>24</v>
      </c>
      <c r="H92" s="1" t="s">
        <v>15</v>
      </c>
      <c r="I92" s="1">
        <v>0.13</v>
      </c>
      <c r="J92" s="1" t="s">
        <v>36</v>
      </c>
      <c r="K92" s="1" t="s">
        <v>310</v>
      </c>
      <c r="L92" s="1" t="s">
        <v>147</v>
      </c>
      <c r="M92" s="1" t="s">
        <v>604</v>
      </c>
      <c r="N92" s="1" t="s">
        <v>521</v>
      </c>
      <c r="O92" s="2">
        <v>1.3350742065603767</v>
      </c>
      <c r="P92" s="2">
        <v>0.60813519710697772</v>
      </c>
      <c r="Q92" s="2">
        <v>0.65131483879188246</v>
      </c>
      <c r="R92" s="2">
        <v>1.0133817949349531</v>
      </c>
      <c r="S92" s="2">
        <v>1.8934703042677019</v>
      </c>
      <c r="T92" s="2">
        <v>1.0079206477571201</v>
      </c>
      <c r="U92" s="2">
        <f t="shared" si="2"/>
        <v>1.0848828315698353</v>
      </c>
      <c r="V92" s="3">
        <f t="shared" si="3"/>
        <v>0.47806160950825133</v>
      </c>
      <c r="W92" s="1">
        <f>_xlfn.T.TEST(O92:T92,O93:T93,2,3)</f>
        <v>0.92778594076658849</v>
      </c>
    </row>
    <row r="93" spans="1:23" x14ac:dyDescent="0.3">
      <c r="A93" s="1">
        <v>92</v>
      </c>
      <c r="B93" s="1" t="s">
        <v>311</v>
      </c>
      <c r="C93" s="1">
        <v>301</v>
      </c>
      <c r="D93" s="1">
        <v>1</v>
      </c>
      <c r="E93" s="1" t="s">
        <v>308</v>
      </c>
      <c r="F93" s="1">
        <v>116695595</v>
      </c>
      <c r="G93" s="1" t="s">
        <v>24</v>
      </c>
      <c r="H93" s="1" t="s">
        <v>15</v>
      </c>
      <c r="I93" s="1">
        <v>0.13</v>
      </c>
      <c r="J93" s="1" t="s">
        <v>36</v>
      </c>
      <c r="K93" s="1" t="s">
        <v>310</v>
      </c>
      <c r="L93" s="1" t="s">
        <v>147</v>
      </c>
      <c r="M93" s="1" t="s">
        <v>604</v>
      </c>
      <c r="N93" s="1" t="s">
        <v>522</v>
      </c>
      <c r="O93" s="2">
        <v>0.83620174278040971</v>
      </c>
      <c r="P93" s="2">
        <v>0.83380432799636306</v>
      </c>
      <c r="Q93" s="2">
        <v>1.4699745568786839</v>
      </c>
      <c r="R93" s="2">
        <v>1.8705078376843092</v>
      </c>
      <c r="S93" s="2">
        <v>0.51715890150808475</v>
      </c>
      <c r="T93" s="2">
        <v>0.82326580708064412</v>
      </c>
      <c r="U93" s="2">
        <f t="shared" si="2"/>
        <v>1.0584855289880826</v>
      </c>
      <c r="V93" s="3">
        <f t="shared" si="3"/>
        <v>0.50536284168460244</v>
      </c>
      <c r="W93" s="1" t="s">
        <v>561</v>
      </c>
    </row>
    <row r="94" spans="1:23" x14ac:dyDescent="0.3">
      <c r="A94" s="1">
        <v>93</v>
      </c>
      <c r="B94" s="1" t="s">
        <v>313</v>
      </c>
      <c r="C94" s="1">
        <v>301</v>
      </c>
      <c r="D94" s="1">
        <v>1</v>
      </c>
      <c r="E94" s="1" t="s">
        <v>314</v>
      </c>
      <c r="F94" s="1">
        <v>117889505</v>
      </c>
      <c r="G94" s="1" t="s">
        <v>72</v>
      </c>
      <c r="H94" s="1" t="s">
        <v>14</v>
      </c>
      <c r="I94" s="1">
        <v>0.26900000000000002</v>
      </c>
      <c r="J94" s="1" t="s">
        <v>16</v>
      </c>
      <c r="K94" s="1" t="s">
        <v>316</v>
      </c>
      <c r="L94" s="1" t="s">
        <v>147</v>
      </c>
      <c r="M94" s="1" t="s">
        <v>605</v>
      </c>
      <c r="N94" s="1" t="s">
        <v>523</v>
      </c>
      <c r="O94" s="2">
        <v>0.39909628632701372</v>
      </c>
      <c r="P94" s="2">
        <v>0.57472689441873359</v>
      </c>
      <c r="Q94" s="2">
        <v>0.83156064404196417</v>
      </c>
      <c r="R94" s="2">
        <v>1.8691024236209071</v>
      </c>
      <c r="S94" s="2">
        <v>1.2799915347802393</v>
      </c>
      <c r="T94" s="2">
        <v>0.74324610078821718</v>
      </c>
      <c r="U94" s="2">
        <f t="shared" si="2"/>
        <v>0.94962064732951246</v>
      </c>
      <c r="V94" s="3">
        <f t="shared" si="3"/>
        <v>0.53939645458087293</v>
      </c>
      <c r="W94" s="1">
        <f>_xlfn.T.TEST(O94:T94,O95:T95,2,3)</f>
        <v>0.13696339714491573</v>
      </c>
    </row>
    <row r="95" spans="1:23" x14ac:dyDescent="0.3">
      <c r="A95" s="1">
        <v>94</v>
      </c>
      <c r="B95" s="1" t="s">
        <v>317</v>
      </c>
      <c r="C95" s="1">
        <v>301</v>
      </c>
      <c r="D95" s="1">
        <v>1</v>
      </c>
      <c r="E95" s="1" t="s">
        <v>314</v>
      </c>
      <c r="F95" s="1">
        <v>117889505</v>
      </c>
      <c r="G95" s="1" t="s">
        <v>72</v>
      </c>
      <c r="H95" s="1" t="s">
        <v>14</v>
      </c>
      <c r="I95" s="1">
        <v>0.26900000000000002</v>
      </c>
      <c r="J95" s="1" t="s">
        <v>16</v>
      </c>
      <c r="K95" s="1" t="s">
        <v>316</v>
      </c>
      <c r="L95" s="1" t="s">
        <v>147</v>
      </c>
      <c r="M95" s="1" t="s">
        <v>605</v>
      </c>
      <c r="N95" s="1" t="s">
        <v>524</v>
      </c>
      <c r="O95" s="2">
        <v>3.9358603851362544</v>
      </c>
      <c r="P95" s="2">
        <v>1.1182770449170965</v>
      </c>
      <c r="Q95" s="2">
        <v>1.5212341542721703</v>
      </c>
      <c r="R95" s="2">
        <v>0.83796335378047948</v>
      </c>
      <c r="S95" s="2">
        <v>1.5674737711914017</v>
      </c>
      <c r="T95" s="2">
        <v>1.7455890104253557</v>
      </c>
      <c r="U95" s="2">
        <f t="shared" si="2"/>
        <v>1.7877329532871264</v>
      </c>
      <c r="V95" s="3">
        <f t="shared" si="3"/>
        <v>1.1032675829512184</v>
      </c>
      <c r="W95" s="1" t="s">
        <v>561</v>
      </c>
    </row>
    <row r="96" spans="1:23" x14ac:dyDescent="0.3">
      <c r="A96" s="1">
        <v>95</v>
      </c>
      <c r="B96" s="1" t="s">
        <v>319</v>
      </c>
      <c r="C96" s="1">
        <v>301</v>
      </c>
      <c r="D96" s="1">
        <v>1</v>
      </c>
      <c r="E96" s="1" t="s">
        <v>320</v>
      </c>
      <c r="F96" s="1">
        <v>117890385</v>
      </c>
      <c r="G96" s="1" t="s">
        <v>15</v>
      </c>
      <c r="H96" s="1" t="s">
        <v>24</v>
      </c>
      <c r="I96" s="1">
        <v>0.216</v>
      </c>
      <c r="J96" s="1" t="s">
        <v>16</v>
      </c>
      <c r="K96" s="1" t="s">
        <v>322</v>
      </c>
      <c r="L96" s="1" t="s">
        <v>323</v>
      </c>
      <c r="M96" s="1" t="s">
        <v>605</v>
      </c>
      <c r="N96" s="1" t="s">
        <v>525</v>
      </c>
      <c r="O96" s="2">
        <v>9.4811605104099E-2</v>
      </c>
      <c r="P96" s="2">
        <v>8.8600750742546489E-2</v>
      </c>
      <c r="Q96" s="2">
        <v>5.061891496606042E-2</v>
      </c>
      <c r="R96" s="2">
        <v>0.15470883885172212</v>
      </c>
      <c r="S96" s="2">
        <v>0.15293460308110704</v>
      </c>
      <c r="T96" s="2">
        <v>0.17685319261771085</v>
      </c>
      <c r="U96" s="2">
        <f t="shared" si="2"/>
        <v>0.11975465089387433</v>
      </c>
      <c r="V96" s="3">
        <f t="shared" si="3"/>
        <v>4.8898709512866366E-2</v>
      </c>
      <c r="W96" s="1">
        <f>_xlfn.T.TEST(O96:T96,O97:T97,2,3)</f>
        <v>4.2172514023479206E-3</v>
      </c>
    </row>
    <row r="97" spans="1:23" x14ac:dyDescent="0.3">
      <c r="A97" s="1">
        <v>96</v>
      </c>
      <c r="B97" s="1" t="s">
        <v>324</v>
      </c>
      <c r="C97" s="1">
        <v>301</v>
      </c>
      <c r="D97" s="1">
        <v>1</v>
      </c>
      <c r="E97" s="1" t="s">
        <v>320</v>
      </c>
      <c r="F97" s="1">
        <v>117890385</v>
      </c>
      <c r="G97" s="1" t="s">
        <v>15</v>
      </c>
      <c r="H97" s="1" t="s">
        <v>24</v>
      </c>
      <c r="I97" s="1">
        <v>0.216</v>
      </c>
      <c r="J97" s="1" t="s">
        <v>16</v>
      </c>
      <c r="K97" s="1" t="s">
        <v>322</v>
      </c>
      <c r="L97" s="1" t="s">
        <v>323</v>
      </c>
      <c r="M97" s="1" t="s">
        <v>605</v>
      </c>
      <c r="N97" s="1" t="s">
        <v>526</v>
      </c>
      <c r="O97" s="2">
        <v>0.24701859349033545</v>
      </c>
      <c r="P97" s="2">
        <v>0.465101671941133</v>
      </c>
      <c r="Q97" s="2">
        <v>0.60501655507053176</v>
      </c>
      <c r="R97" s="2">
        <v>0.70205711091823331</v>
      </c>
      <c r="S97" s="2">
        <v>0.27692888975534879</v>
      </c>
      <c r="T97" s="2">
        <v>0.59157602050191616</v>
      </c>
      <c r="U97" s="2">
        <f t="shared" si="2"/>
        <v>0.48128314027958302</v>
      </c>
      <c r="V97" s="3">
        <f t="shared" si="3"/>
        <v>0.18607417928471637</v>
      </c>
      <c r="W97" s="1" t="s">
        <v>561</v>
      </c>
    </row>
    <row r="98" spans="1:23" x14ac:dyDescent="0.3">
      <c r="A98" s="1">
        <v>97</v>
      </c>
      <c r="B98" s="1" t="s">
        <v>326</v>
      </c>
      <c r="C98" s="1">
        <v>301</v>
      </c>
      <c r="D98" s="1">
        <v>1</v>
      </c>
      <c r="E98" s="1" t="s">
        <v>327</v>
      </c>
      <c r="F98" s="1">
        <v>117897147</v>
      </c>
      <c r="G98" s="1" t="s">
        <v>14</v>
      </c>
      <c r="H98" s="1" t="s">
        <v>72</v>
      </c>
      <c r="I98" s="1">
        <v>0.113</v>
      </c>
      <c r="J98" s="1" t="s">
        <v>16</v>
      </c>
      <c r="K98" s="1" t="s">
        <v>329</v>
      </c>
      <c r="L98" s="1" t="s">
        <v>28</v>
      </c>
      <c r="M98" s="1" t="s">
        <v>605</v>
      </c>
      <c r="N98" s="1" t="s">
        <v>527</v>
      </c>
      <c r="O98" s="2">
        <v>0.75258156850236868</v>
      </c>
      <c r="P98" s="2">
        <v>0.3986119902540507</v>
      </c>
      <c r="Q98" s="2">
        <v>0.53447976920293372</v>
      </c>
      <c r="R98" s="2">
        <v>0.41853404689356216</v>
      </c>
      <c r="S98" s="2">
        <v>0.62466397784991612</v>
      </c>
      <c r="T98" s="2">
        <v>2.1351577816524605</v>
      </c>
      <c r="U98" s="2">
        <f t="shared" si="2"/>
        <v>0.81067152239254858</v>
      </c>
      <c r="V98" s="3">
        <f t="shared" si="3"/>
        <v>0.66213047695826943</v>
      </c>
      <c r="W98" s="1">
        <f>_xlfn.T.TEST(O98:T98,O99:T99,2,3)</f>
        <v>0.52631126562097819</v>
      </c>
    </row>
    <row r="99" spans="1:23" x14ac:dyDescent="0.3">
      <c r="A99" s="1">
        <v>98</v>
      </c>
      <c r="B99" s="1" t="s">
        <v>330</v>
      </c>
      <c r="C99" s="1">
        <v>301</v>
      </c>
      <c r="D99" s="1">
        <v>1</v>
      </c>
      <c r="E99" s="1" t="s">
        <v>327</v>
      </c>
      <c r="F99" s="1">
        <v>117897147</v>
      </c>
      <c r="G99" s="1" t="s">
        <v>14</v>
      </c>
      <c r="H99" s="1" t="s">
        <v>72</v>
      </c>
      <c r="I99" s="1">
        <v>0.113</v>
      </c>
      <c r="J99" s="1" t="s">
        <v>16</v>
      </c>
      <c r="K99" s="1" t="s">
        <v>329</v>
      </c>
      <c r="L99" s="1" t="s">
        <v>28</v>
      </c>
      <c r="M99" s="1" t="s">
        <v>605</v>
      </c>
      <c r="N99" s="1" t="s">
        <v>528</v>
      </c>
      <c r="O99" s="2">
        <v>0.69344205158084016</v>
      </c>
      <c r="P99" s="2">
        <v>0.63448962135272269</v>
      </c>
      <c r="Q99" s="2">
        <v>0.93864288476372537</v>
      </c>
      <c r="R99" s="2">
        <v>0.6347766377885693</v>
      </c>
      <c r="S99" s="2">
        <v>1.4714322944257985</v>
      </c>
      <c r="T99" s="2">
        <v>1.8337134241770705</v>
      </c>
      <c r="U99" s="2">
        <f t="shared" si="2"/>
        <v>1.0344161523481212</v>
      </c>
      <c r="V99" s="3">
        <f t="shared" si="3"/>
        <v>0.50496496218231068</v>
      </c>
      <c r="W99" s="1" t="s">
        <v>561</v>
      </c>
    </row>
    <row r="100" spans="1:23" x14ac:dyDescent="0.3">
      <c r="A100" s="1">
        <v>99</v>
      </c>
      <c r="B100" s="1" t="s">
        <v>332</v>
      </c>
      <c r="C100" s="1">
        <v>301</v>
      </c>
      <c r="D100" s="1">
        <v>1</v>
      </c>
      <c r="E100" s="1" t="s">
        <v>333</v>
      </c>
      <c r="F100" s="1">
        <v>23120140</v>
      </c>
      <c r="G100" s="1" t="s">
        <v>14</v>
      </c>
      <c r="H100" s="1" t="s">
        <v>72</v>
      </c>
      <c r="I100" s="1">
        <v>1</v>
      </c>
      <c r="J100" s="1" t="s">
        <v>36</v>
      </c>
      <c r="K100" s="1" t="s">
        <v>335</v>
      </c>
      <c r="L100" s="1" t="s">
        <v>47</v>
      </c>
      <c r="M100" s="1" t="s">
        <v>606</v>
      </c>
      <c r="N100" s="1" t="s">
        <v>529</v>
      </c>
      <c r="O100" s="2">
        <v>0.33034646258452344</v>
      </c>
      <c r="P100" s="2">
        <v>0.53648493155567745</v>
      </c>
      <c r="Q100" s="2">
        <v>0.6363279293730133</v>
      </c>
      <c r="R100" s="2">
        <v>1.4026650213781491</v>
      </c>
      <c r="S100" s="2">
        <v>1.1097131300492162</v>
      </c>
      <c r="T100" s="2">
        <v>0.72270061532039176</v>
      </c>
      <c r="U100" s="2">
        <f t="shared" si="2"/>
        <v>0.78970634837682852</v>
      </c>
      <c r="V100" s="3">
        <f t="shared" si="3"/>
        <v>0.39528976040733194</v>
      </c>
      <c r="W100" s="1">
        <f>_xlfn.T.TEST(O100:T100,O101:T101,2,3)</f>
        <v>0.24444980229730651</v>
      </c>
    </row>
    <row r="101" spans="1:23" x14ac:dyDescent="0.3">
      <c r="A101" s="1">
        <v>100</v>
      </c>
      <c r="B101" s="1" t="s">
        <v>336</v>
      </c>
      <c r="C101" s="1">
        <v>301</v>
      </c>
      <c r="D101" s="1">
        <v>1</v>
      </c>
      <c r="E101" s="1" t="s">
        <v>333</v>
      </c>
      <c r="F101" s="1">
        <v>23120140</v>
      </c>
      <c r="G101" s="1" t="s">
        <v>14</v>
      </c>
      <c r="H101" s="1" t="s">
        <v>72</v>
      </c>
      <c r="I101" s="1">
        <v>1</v>
      </c>
      <c r="J101" s="1" t="s">
        <v>36</v>
      </c>
      <c r="K101" s="1" t="s">
        <v>335</v>
      </c>
      <c r="L101" s="1" t="s">
        <v>47</v>
      </c>
      <c r="M101" s="1" t="s">
        <v>606</v>
      </c>
      <c r="N101" s="1" t="s">
        <v>530</v>
      </c>
      <c r="O101" s="2">
        <v>0.86238439920966659</v>
      </c>
      <c r="P101" s="2">
        <v>1.0264887619735987</v>
      </c>
      <c r="Q101" s="2">
        <v>0.69620031286120243</v>
      </c>
      <c r="R101" s="2">
        <v>1.2821556602721209</v>
      </c>
      <c r="S101" s="2">
        <v>1.0787805519930893</v>
      </c>
      <c r="T101" s="2">
        <v>1.1787582498348872</v>
      </c>
      <c r="U101" s="2">
        <f t="shared" si="2"/>
        <v>1.0207946560240941</v>
      </c>
      <c r="V101" s="3">
        <f t="shared" si="3"/>
        <v>0.21312538824007421</v>
      </c>
      <c r="W101" s="1" t="s">
        <v>561</v>
      </c>
    </row>
    <row r="102" spans="1:23" x14ac:dyDescent="0.3">
      <c r="A102" s="1">
        <v>101</v>
      </c>
      <c r="B102" s="1" t="s">
        <v>338</v>
      </c>
      <c r="C102" s="1">
        <v>301</v>
      </c>
      <c r="D102" s="1">
        <v>1</v>
      </c>
      <c r="E102" s="1" t="s">
        <v>339</v>
      </c>
      <c r="F102" s="1">
        <v>67547980</v>
      </c>
      <c r="G102" s="1" t="s">
        <v>72</v>
      </c>
      <c r="H102" s="1" t="s">
        <v>14</v>
      </c>
      <c r="I102" s="1">
        <v>0.36699999999999999</v>
      </c>
      <c r="J102" s="1" t="s">
        <v>36</v>
      </c>
      <c r="K102" s="1" t="s">
        <v>341</v>
      </c>
      <c r="L102" s="1" t="s">
        <v>118</v>
      </c>
      <c r="M102" s="1" t="s">
        <v>607</v>
      </c>
      <c r="N102" s="1" t="s">
        <v>531</v>
      </c>
      <c r="O102" s="2">
        <v>0.42545860249298417</v>
      </c>
      <c r="P102" s="2">
        <v>0.41306351149393733</v>
      </c>
      <c r="Q102" s="2">
        <v>0.55571890984256245</v>
      </c>
      <c r="R102" s="2">
        <v>0.74971448318927847</v>
      </c>
      <c r="S102" s="2">
        <v>0.51651964452228982</v>
      </c>
      <c r="T102" s="2">
        <v>0.9256598702809149</v>
      </c>
      <c r="U102" s="2">
        <f t="shared" si="2"/>
        <v>0.5976891703036612</v>
      </c>
      <c r="V102" s="3">
        <f t="shared" si="3"/>
        <v>0.20138345158408488</v>
      </c>
      <c r="W102" s="1">
        <f>_xlfn.T.TEST(O102:T102,O103:T103,2,3)</f>
        <v>8.2352821524632802E-2</v>
      </c>
    </row>
    <row r="103" spans="1:23" x14ac:dyDescent="0.3">
      <c r="A103" s="1">
        <v>102</v>
      </c>
      <c r="B103" s="1" t="s">
        <v>342</v>
      </c>
      <c r="C103" s="1">
        <v>301</v>
      </c>
      <c r="D103" s="1">
        <v>1</v>
      </c>
      <c r="E103" s="1" t="s">
        <v>339</v>
      </c>
      <c r="F103" s="1">
        <v>67547980</v>
      </c>
      <c r="G103" s="1" t="s">
        <v>72</v>
      </c>
      <c r="H103" s="1" t="s">
        <v>14</v>
      </c>
      <c r="I103" s="1">
        <v>0.36699999999999999</v>
      </c>
      <c r="J103" s="1" t="s">
        <v>36</v>
      </c>
      <c r="K103" s="1" t="s">
        <v>341</v>
      </c>
      <c r="L103" s="1" t="s">
        <v>118</v>
      </c>
      <c r="M103" s="1" t="s">
        <v>607</v>
      </c>
      <c r="N103" s="1" t="s">
        <v>532</v>
      </c>
      <c r="O103" s="2">
        <v>0.47233116039475359</v>
      </c>
      <c r="P103" s="2">
        <v>0.68033990128413202</v>
      </c>
      <c r="Q103" s="2">
        <v>1.2324411306992311</v>
      </c>
      <c r="R103" s="2">
        <v>1.0585313923949546</v>
      </c>
      <c r="S103" s="2">
        <v>2.3096246179595759</v>
      </c>
      <c r="T103" s="2">
        <v>2.847084434717464</v>
      </c>
      <c r="U103" s="2">
        <f t="shared" si="2"/>
        <v>1.4333921062416852</v>
      </c>
      <c r="V103" s="3">
        <f t="shared" si="3"/>
        <v>0.94211857306429203</v>
      </c>
      <c r="W103" s="1" t="s">
        <v>561</v>
      </c>
    </row>
    <row r="104" spans="1:23" x14ac:dyDescent="0.3">
      <c r="A104" s="1">
        <v>103</v>
      </c>
      <c r="B104" s="1" t="s">
        <v>344</v>
      </c>
      <c r="C104" s="1">
        <v>301</v>
      </c>
      <c r="D104" s="1">
        <v>1</v>
      </c>
      <c r="E104" s="1" t="s">
        <v>345</v>
      </c>
      <c r="F104" s="1">
        <v>17724927</v>
      </c>
      <c r="G104" s="1" t="s">
        <v>15</v>
      </c>
      <c r="H104" s="1" t="s">
        <v>24</v>
      </c>
      <c r="I104" s="1">
        <v>0.13</v>
      </c>
      <c r="J104" s="1" t="s">
        <v>170</v>
      </c>
      <c r="K104" s="1" t="s">
        <v>347</v>
      </c>
      <c r="L104" s="1" t="s">
        <v>75</v>
      </c>
      <c r="M104" s="1" t="s">
        <v>608</v>
      </c>
      <c r="N104" s="1" t="s">
        <v>533</v>
      </c>
      <c r="O104" s="2">
        <v>0.40374610746738665</v>
      </c>
      <c r="P104" s="2">
        <v>0.38197212045039203</v>
      </c>
      <c r="Q104" s="2">
        <v>0.41352340777691443</v>
      </c>
      <c r="R104" s="2">
        <v>0.38631648757205422</v>
      </c>
      <c r="S104" s="2">
        <v>0.53291424190077541</v>
      </c>
      <c r="T104" s="2">
        <v>1.2078322861137774</v>
      </c>
      <c r="U104" s="2">
        <f t="shared" si="2"/>
        <v>0.55438410854688336</v>
      </c>
      <c r="V104" s="3">
        <f t="shared" si="3"/>
        <v>0.32494973124760496</v>
      </c>
      <c r="W104" s="1">
        <f>_xlfn.T.TEST(O104:T104,O105:T105,2,3)</f>
        <v>6.7870405945883588E-3</v>
      </c>
    </row>
    <row r="105" spans="1:23" x14ac:dyDescent="0.3">
      <c r="A105" s="1">
        <v>104</v>
      </c>
      <c r="B105" s="1" t="s">
        <v>348</v>
      </c>
      <c r="C105" s="1">
        <v>301</v>
      </c>
      <c r="D105" s="1">
        <v>1</v>
      </c>
      <c r="E105" s="1" t="s">
        <v>345</v>
      </c>
      <c r="F105" s="1">
        <v>17724927</v>
      </c>
      <c r="G105" s="1" t="s">
        <v>15</v>
      </c>
      <c r="H105" s="1" t="s">
        <v>24</v>
      </c>
      <c r="I105" s="1">
        <v>0.13</v>
      </c>
      <c r="J105" s="1" t="s">
        <v>170</v>
      </c>
      <c r="K105" s="1" t="s">
        <v>347</v>
      </c>
      <c r="L105" s="1" t="s">
        <v>75</v>
      </c>
      <c r="M105" s="1" t="s">
        <v>608</v>
      </c>
      <c r="N105" s="1" t="s">
        <v>534</v>
      </c>
      <c r="O105" s="2">
        <v>3.0431609592691089</v>
      </c>
      <c r="P105" s="2">
        <v>1.316439629409387</v>
      </c>
      <c r="Q105" s="2">
        <v>1.1292369981600356</v>
      </c>
      <c r="R105" s="2">
        <v>1.4577814068527326</v>
      </c>
      <c r="S105" s="2">
        <v>2.2748272084863563</v>
      </c>
      <c r="T105" s="2">
        <v>1.5329870319516599</v>
      </c>
      <c r="U105" s="2">
        <f t="shared" si="2"/>
        <v>1.7924055390215468</v>
      </c>
      <c r="V105" s="3">
        <f t="shared" si="3"/>
        <v>0.72701129575671453</v>
      </c>
      <c r="W105" s="1" t="s">
        <v>561</v>
      </c>
    </row>
    <row r="106" spans="1:23" x14ac:dyDescent="0.3">
      <c r="A106" s="1">
        <v>105</v>
      </c>
      <c r="B106" s="1" t="s">
        <v>350</v>
      </c>
      <c r="C106" s="1">
        <v>301</v>
      </c>
      <c r="D106" s="1">
        <v>1</v>
      </c>
      <c r="E106" s="1" t="s">
        <v>351</v>
      </c>
      <c r="F106" s="1">
        <v>17725971</v>
      </c>
      <c r="G106" s="1" t="s">
        <v>24</v>
      </c>
      <c r="H106" s="1" t="s">
        <v>15</v>
      </c>
      <c r="I106" s="1">
        <v>0.188</v>
      </c>
      <c r="J106" s="1" t="s">
        <v>170</v>
      </c>
      <c r="K106" s="1" t="s">
        <v>347</v>
      </c>
      <c r="L106" s="1" t="s">
        <v>75</v>
      </c>
      <c r="M106" s="1" t="s">
        <v>608</v>
      </c>
      <c r="N106" s="1" t="s">
        <v>535</v>
      </c>
      <c r="O106" s="2">
        <v>1.3692223194304216</v>
      </c>
      <c r="P106" s="2">
        <v>1.269111171521901</v>
      </c>
      <c r="Q106" s="2">
        <v>1.1957961894429077</v>
      </c>
      <c r="R106" s="2">
        <v>2.0077425418164827</v>
      </c>
      <c r="S106" s="2">
        <v>2.1484030458536374</v>
      </c>
      <c r="T106" s="2">
        <v>2.7666490465133848</v>
      </c>
      <c r="U106" s="2">
        <f t="shared" si="2"/>
        <v>1.7928207190964558</v>
      </c>
      <c r="V106" s="3">
        <f t="shared" si="3"/>
        <v>0.62146880463807963</v>
      </c>
      <c r="W106" s="1">
        <f>_xlfn.T.TEST(O106:T106,O107:T107,2,3)</f>
        <v>0.26295777021238614</v>
      </c>
    </row>
    <row r="107" spans="1:23" x14ac:dyDescent="0.3">
      <c r="A107" s="1">
        <v>106</v>
      </c>
      <c r="B107" s="1" t="s">
        <v>353</v>
      </c>
      <c r="C107" s="1">
        <v>301</v>
      </c>
      <c r="D107" s="1">
        <v>1</v>
      </c>
      <c r="E107" s="1" t="s">
        <v>351</v>
      </c>
      <c r="F107" s="1">
        <v>17725971</v>
      </c>
      <c r="G107" s="1" t="s">
        <v>24</v>
      </c>
      <c r="H107" s="1" t="s">
        <v>15</v>
      </c>
      <c r="I107" s="1">
        <v>0.188</v>
      </c>
      <c r="J107" s="1" t="s">
        <v>170</v>
      </c>
      <c r="K107" s="1" t="s">
        <v>347</v>
      </c>
      <c r="L107" s="1" t="s">
        <v>75</v>
      </c>
      <c r="M107" s="1" t="s">
        <v>608</v>
      </c>
      <c r="N107" s="1" t="s">
        <v>536</v>
      </c>
      <c r="O107" s="2">
        <v>2.4407566115707962</v>
      </c>
      <c r="P107" s="2">
        <v>1.4267683027162443</v>
      </c>
      <c r="Q107" s="2">
        <v>1.2722112904141682</v>
      </c>
      <c r="R107" s="2">
        <v>5.8562640284313696</v>
      </c>
      <c r="S107" s="2">
        <v>2.9621683497383713</v>
      </c>
      <c r="T107" s="2">
        <v>2.1742243464737769</v>
      </c>
      <c r="U107" s="2">
        <f t="shared" si="2"/>
        <v>2.6887321548907877</v>
      </c>
      <c r="V107" s="3">
        <f t="shared" si="3"/>
        <v>1.675310108681253</v>
      </c>
      <c r="W107" s="1" t="s">
        <v>561</v>
      </c>
    </row>
    <row r="108" spans="1:23" x14ac:dyDescent="0.3">
      <c r="A108" s="1">
        <v>107</v>
      </c>
      <c r="B108" s="1" t="s">
        <v>355</v>
      </c>
      <c r="C108" s="1">
        <v>524</v>
      </c>
      <c r="D108" s="1">
        <v>2</v>
      </c>
      <c r="E108" s="1" t="s">
        <v>356</v>
      </c>
      <c r="F108" s="1" t="s">
        <v>357</v>
      </c>
      <c r="G108" s="1" t="s">
        <v>358</v>
      </c>
      <c r="H108" s="1" t="s">
        <v>359</v>
      </c>
      <c r="I108" s="1" t="s">
        <v>575</v>
      </c>
      <c r="J108" s="1" t="s">
        <v>170</v>
      </c>
      <c r="K108" s="1" t="s">
        <v>347</v>
      </c>
      <c r="L108" s="1" t="s">
        <v>75</v>
      </c>
      <c r="M108" s="1" t="s">
        <v>608</v>
      </c>
      <c r="N108" s="1" t="s">
        <v>537</v>
      </c>
      <c r="O108" s="2">
        <v>0.24962943363114623</v>
      </c>
      <c r="P108" s="2">
        <v>0.28108274226867064</v>
      </c>
      <c r="Q108" s="2">
        <v>0.22460116444089626</v>
      </c>
      <c r="R108" s="2">
        <v>0.91167309323339207</v>
      </c>
      <c r="S108" s="2">
        <v>0.89743431235814852</v>
      </c>
      <c r="T108" s="2">
        <v>0.7724004802670994</v>
      </c>
      <c r="U108" s="2">
        <f t="shared" si="2"/>
        <v>0.55613687103322551</v>
      </c>
      <c r="V108" s="3">
        <f t="shared" si="3"/>
        <v>0.33739514077978661</v>
      </c>
      <c r="W108" s="1">
        <f>_xlfn.T.TEST(O108:T108,O109:T109,2,3)</f>
        <v>0.16324446519862057</v>
      </c>
    </row>
    <row r="109" spans="1:23" x14ac:dyDescent="0.3">
      <c r="A109" s="1">
        <v>108</v>
      </c>
      <c r="B109" s="1" t="s">
        <v>361</v>
      </c>
      <c r="C109" s="1">
        <v>524</v>
      </c>
      <c r="D109" s="1">
        <v>2</v>
      </c>
      <c r="E109" s="1" t="s">
        <v>356</v>
      </c>
      <c r="F109" s="1" t="s">
        <v>357</v>
      </c>
      <c r="G109" s="1" t="s">
        <v>358</v>
      </c>
      <c r="H109" s="1" t="s">
        <v>359</v>
      </c>
      <c r="I109" s="1" t="s">
        <v>575</v>
      </c>
      <c r="J109" s="1" t="s">
        <v>170</v>
      </c>
      <c r="K109" s="1" t="s">
        <v>347</v>
      </c>
      <c r="L109" s="1" t="s">
        <v>75</v>
      </c>
      <c r="M109" s="1" t="s">
        <v>608</v>
      </c>
      <c r="N109" s="1" t="s">
        <v>538</v>
      </c>
      <c r="O109" s="2">
        <v>0.17795803708780869</v>
      </c>
      <c r="P109" s="2">
        <v>0.15863472447714913</v>
      </c>
      <c r="Q109" s="2">
        <v>9.9897907477225947E-2</v>
      </c>
      <c r="R109" s="2">
        <v>0.5589139490033872</v>
      </c>
      <c r="S109" s="2">
        <v>0.47469177976788823</v>
      </c>
      <c r="T109" s="2">
        <v>0.40655165083021344</v>
      </c>
      <c r="U109" s="2">
        <f t="shared" si="2"/>
        <v>0.31277467477394544</v>
      </c>
      <c r="V109" s="3">
        <f t="shared" si="3"/>
        <v>0.19123126343528107</v>
      </c>
      <c r="W109" s="1" t="s">
        <v>561</v>
      </c>
    </row>
    <row r="110" spans="1:23" x14ac:dyDescent="0.3">
      <c r="A110" s="1">
        <v>109</v>
      </c>
      <c r="B110" s="1" t="s">
        <v>363</v>
      </c>
      <c r="C110" s="1">
        <v>301</v>
      </c>
      <c r="D110" s="1">
        <v>1</v>
      </c>
      <c r="E110" s="1" t="s">
        <v>364</v>
      </c>
      <c r="F110" s="1">
        <v>49014714</v>
      </c>
      <c r="G110" s="1" t="s">
        <v>24</v>
      </c>
      <c r="H110" s="1" t="s">
        <v>15</v>
      </c>
      <c r="I110" s="1">
        <v>0.93200000000000005</v>
      </c>
      <c r="J110" s="1" t="s">
        <v>170</v>
      </c>
      <c r="K110" s="1" t="s">
        <v>366</v>
      </c>
      <c r="L110" s="1" t="s">
        <v>67</v>
      </c>
      <c r="M110" s="1" t="s">
        <v>609</v>
      </c>
      <c r="N110" s="1" t="s">
        <v>539</v>
      </c>
      <c r="O110" s="2">
        <v>0.31093223702286577</v>
      </c>
      <c r="P110" s="2">
        <v>0.35173616232902005</v>
      </c>
      <c r="Q110" s="2">
        <v>0.62038736128077732</v>
      </c>
      <c r="R110" s="2">
        <v>1.3816733286128871</v>
      </c>
      <c r="S110" s="2">
        <v>1.1940732198360759</v>
      </c>
      <c r="T110" s="2">
        <v>1.3266043669957999</v>
      </c>
      <c r="U110" s="2">
        <f t="shared" si="2"/>
        <v>0.86423444601290422</v>
      </c>
      <c r="V110" s="3">
        <f t="shared" si="3"/>
        <v>0.49367636843538765</v>
      </c>
      <c r="W110" s="1">
        <f>_xlfn.T.TEST(O110:T110,O111:T111,2,3)</f>
        <v>0.79000041541164201</v>
      </c>
    </row>
    <row r="111" spans="1:23" x14ac:dyDescent="0.3">
      <c r="A111" s="1">
        <v>110</v>
      </c>
      <c r="B111" s="1" t="s">
        <v>367</v>
      </c>
      <c r="C111" s="1">
        <v>301</v>
      </c>
      <c r="D111" s="1">
        <v>1</v>
      </c>
      <c r="E111" s="1" t="s">
        <v>364</v>
      </c>
      <c r="F111" s="1">
        <v>49014714</v>
      </c>
      <c r="G111" s="1" t="s">
        <v>24</v>
      </c>
      <c r="H111" s="1" t="s">
        <v>15</v>
      </c>
      <c r="I111" s="1">
        <v>0.93200000000000005</v>
      </c>
      <c r="J111" s="1" t="s">
        <v>170</v>
      </c>
      <c r="K111" s="1" t="s">
        <v>366</v>
      </c>
      <c r="L111" s="1" t="s">
        <v>67</v>
      </c>
      <c r="M111" s="1" t="s">
        <v>609</v>
      </c>
      <c r="N111" s="1" t="s">
        <v>540</v>
      </c>
      <c r="O111" s="2">
        <v>0.33977508469776968</v>
      </c>
      <c r="P111" s="2">
        <v>0.19462425125547009</v>
      </c>
      <c r="Q111" s="2">
        <v>0.45495073160590332</v>
      </c>
      <c r="R111" s="2">
        <v>0.40490735699470198</v>
      </c>
      <c r="S111" s="2">
        <v>0.90382600374618005</v>
      </c>
      <c r="T111" s="2">
        <v>2.2681212752030513</v>
      </c>
      <c r="U111" s="2">
        <f t="shared" si="2"/>
        <v>0.76103411725051273</v>
      </c>
      <c r="V111" s="3">
        <f t="shared" si="3"/>
        <v>0.77595023573115995</v>
      </c>
      <c r="W111" s="1" t="s">
        <v>561</v>
      </c>
    </row>
    <row r="112" spans="1:23" x14ac:dyDescent="0.3">
      <c r="A112" s="1">
        <v>111</v>
      </c>
      <c r="B112" s="1" t="s">
        <v>369</v>
      </c>
      <c r="C112" s="1">
        <v>301</v>
      </c>
      <c r="D112" s="1">
        <v>1</v>
      </c>
      <c r="E112" s="1" t="s">
        <v>370</v>
      </c>
      <c r="F112" s="1">
        <v>63138516</v>
      </c>
      <c r="G112" s="1" t="s">
        <v>15</v>
      </c>
      <c r="H112" s="1" t="s">
        <v>24</v>
      </c>
      <c r="I112" s="1">
        <v>0.5</v>
      </c>
      <c r="J112" s="1" t="s">
        <v>170</v>
      </c>
      <c r="K112" s="1" t="s">
        <v>372</v>
      </c>
      <c r="L112" s="1" t="s">
        <v>118</v>
      </c>
      <c r="M112" s="1" t="s">
        <v>610</v>
      </c>
      <c r="N112" s="1" t="s">
        <v>541</v>
      </c>
      <c r="O112" s="2">
        <v>0.38629986215642503</v>
      </c>
      <c r="P112" s="2">
        <v>0.54361662631812291</v>
      </c>
      <c r="Q112" s="2">
        <v>0.37395340184226539</v>
      </c>
      <c r="R112" s="2">
        <v>1.5357219522997785</v>
      </c>
      <c r="S112" s="2">
        <v>1.0553503667351507</v>
      </c>
      <c r="T112" s="2">
        <v>0.69391731832787695</v>
      </c>
      <c r="U112" s="2">
        <f t="shared" si="2"/>
        <v>0.76480992127993652</v>
      </c>
      <c r="V112" s="3">
        <f t="shared" si="3"/>
        <v>0.45358792500472239</v>
      </c>
      <c r="W112" s="1">
        <f>_xlfn.T.TEST(O112:T112,O113:T113,2,3)</f>
        <v>0.81849150584365782</v>
      </c>
    </row>
    <row r="113" spans="1:23" x14ac:dyDescent="0.3">
      <c r="A113" s="1">
        <v>112</v>
      </c>
      <c r="B113" s="1" t="s">
        <v>373</v>
      </c>
      <c r="C113" s="1">
        <v>301</v>
      </c>
      <c r="D113" s="1">
        <v>1</v>
      </c>
      <c r="E113" s="1" t="s">
        <v>370</v>
      </c>
      <c r="F113" s="1">
        <v>63138516</v>
      </c>
      <c r="G113" s="1" t="s">
        <v>15</v>
      </c>
      <c r="H113" s="1" t="s">
        <v>24</v>
      </c>
      <c r="I113" s="1">
        <v>0.5</v>
      </c>
      <c r="J113" s="1" t="s">
        <v>170</v>
      </c>
      <c r="K113" s="1" t="s">
        <v>372</v>
      </c>
      <c r="L113" s="1" t="s">
        <v>118</v>
      </c>
      <c r="M113" s="1" t="s">
        <v>610</v>
      </c>
      <c r="N113" s="1" t="s">
        <v>542</v>
      </c>
      <c r="O113" s="2">
        <v>0.41530492115532153</v>
      </c>
      <c r="P113" s="2">
        <v>0.48596031746620078</v>
      </c>
      <c r="Q113" s="2">
        <v>0.44263035245360333</v>
      </c>
      <c r="R113" s="2">
        <v>0.9576058992924702</v>
      </c>
      <c r="S113" s="2">
        <v>1.237037682292579</v>
      </c>
      <c r="T113" s="2">
        <v>0.72545901461550766</v>
      </c>
      <c r="U113" s="2">
        <f t="shared" si="2"/>
        <v>0.71066636454594712</v>
      </c>
      <c r="V113" s="3">
        <f t="shared" si="3"/>
        <v>0.33101033641794364</v>
      </c>
      <c r="W113" s="1" t="s">
        <v>561</v>
      </c>
    </row>
    <row r="114" spans="1:23" x14ac:dyDescent="0.3">
      <c r="A114" s="1">
        <v>113</v>
      </c>
      <c r="B114" s="1" t="s">
        <v>375</v>
      </c>
      <c r="C114" s="1">
        <v>301</v>
      </c>
      <c r="D114" s="1">
        <v>1</v>
      </c>
      <c r="E114" s="1" t="s">
        <v>376</v>
      </c>
      <c r="F114" s="1">
        <v>63143007</v>
      </c>
      <c r="G114" s="1" t="s">
        <v>15</v>
      </c>
      <c r="H114" s="1" t="s">
        <v>72</v>
      </c>
      <c r="I114" s="1">
        <v>0.33100000000000002</v>
      </c>
      <c r="J114" s="1" t="s">
        <v>170</v>
      </c>
      <c r="K114" s="1" t="s">
        <v>378</v>
      </c>
      <c r="L114" s="1" t="s">
        <v>118</v>
      </c>
      <c r="M114" s="1" t="s">
        <v>610</v>
      </c>
      <c r="N114" s="1" t="s">
        <v>543</v>
      </c>
      <c r="O114" s="2">
        <v>0.70061587032226513</v>
      </c>
      <c r="P114" s="2">
        <v>1.1523262957382845</v>
      </c>
      <c r="Q114" s="2">
        <v>0.60564192254888638</v>
      </c>
      <c r="R114" s="2">
        <v>3.509197093954084</v>
      </c>
      <c r="S114" s="2">
        <v>1.0262590938463281</v>
      </c>
      <c r="T114" s="2">
        <v>1.1303663716102097</v>
      </c>
      <c r="U114" s="2">
        <f t="shared" si="2"/>
        <v>1.3540677746700096</v>
      </c>
      <c r="V114" s="3">
        <f t="shared" si="3"/>
        <v>1.0798077146911487</v>
      </c>
      <c r="W114" s="1">
        <f>_xlfn.T.TEST(O114:T114,O115:T115,2,3)</f>
        <v>0.35147611100587328</v>
      </c>
    </row>
    <row r="115" spans="1:23" x14ac:dyDescent="0.3">
      <c r="A115" s="1">
        <v>114</v>
      </c>
      <c r="B115" s="1" t="s">
        <v>379</v>
      </c>
      <c r="C115" s="1">
        <v>301</v>
      </c>
      <c r="D115" s="1">
        <v>1</v>
      </c>
      <c r="E115" s="1" t="s">
        <v>376</v>
      </c>
      <c r="F115" s="1">
        <v>63143007</v>
      </c>
      <c r="G115" s="1" t="s">
        <v>15</v>
      </c>
      <c r="H115" s="1" t="s">
        <v>72</v>
      </c>
      <c r="I115" s="1">
        <v>0.33100000000000002</v>
      </c>
      <c r="J115" s="1" t="s">
        <v>170</v>
      </c>
      <c r="K115" s="1" t="s">
        <v>378</v>
      </c>
      <c r="L115" s="1" t="s">
        <v>118</v>
      </c>
      <c r="M115" s="1" t="s">
        <v>610</v>
      </c>
      <c r="N115" s="1" t="s">
        <v>544</v>
      </c>
      <c r="O115" s="2">
        <v>1.6110851817941538</v>
      </c>
      <c r="P115" s="2">
        <v>0.85035858173005396</v>
      </c>
      <c r="Q115" s="2">
        <v>0.87109420488896239</v>
      </c>
      <c r="R115" s="2">
        <v>4.1626774899771926</v>
      </c>
      <c r="S115" s="2">
        <v>2.0025067015006575</v>
      </c>
      <c r="T115" s="2">
        <v>2.5765672811281255</v>
      </c>
      <c r="U115" s="2">
        <f t="shared" si="2"/>
        <v>2.0123815735031911</v>
      </c>
      <c r="V115" s="3">
        <f t="shared" si="3"/>
        <v>1.2454757034447963</v>
      </c>
      <c r="W115" s="1" t="s">
        <v>561</v>
      </c>
    </row>
    <row r="116" spans="1:23" x14ac:dyDescent="0.3">
      <c r="A116" s="1">
        <v>115</v>
      </c>
      <c r="B116" s="1" t="s">
        <v>381</v>
      </c>
      <c r="C116" s="1">
        <v>301</v>
      </c>
      <c r="D116" s="1">
        <v>1</v>
      </c>
      <c r="E116" s="1" t="s">
        <v>382</v>
      </c>
      <c r="F116" s="1">
        <v>77023047</v>
      </c>
      <c r="G116" s="1" t="s">
        <v>15</v>
      </c>
      <c r="H116" s="1" t="s">
        <v>24</v>
      </c>
      <c r="I116" s="1">
        <v>0.37</v>
      </c>
      <c r="J116" s="1" t="s">
        <v>170</v>
      </c>
      <c r="K116" s="1" t="s">
        <v>384</v>
      </c>
      <c r="L116" s="1" t="s">
        <v>28</v>
      </c>
      <c r="M116" s="1" t="s">
        <v>611</v>
      </c>
      <c r="N116" s="1" t="s">
        <v>545</v>
      </c>
      <c r="O116" s="2">
        <v>1.1340526740093235</v>
      </c>
      <c r="P116" s="2">
        <v>0.9982408208255148</v>
      </c>
      <c r="Q116" s="2">
        <v>0.74270069886030488</v>
      </c>
      <c r="R116" s="2">
        <v>2.9511005260481884</v>
      </c>
      <c r="S116" s="2">
        <v>1.8385574650744851</v>
      </c>
      <c r="T116" s="2">
        <v>1.9159181278486634</v>
      </c>
      <c r="U116" s="2">
        <f t="shared" si="2"/>
        <v>1.5967617187777465</v>
      </c>
      <c r="V116" s="3">
        <f t="shared" si="3"/>
        <v>0.81194910584290192</v>
      </c>
      <c r="W116" s="1">
        <f>_xlfn.T.TEST(O116:T116,O117:T117,2,3)</f>
        <v>0.56533955532592572</v>
      </c>
    </row>
    <row r="117" spans="1:23" x14ac:dyDescent="0.3">
      <c r="A117" s="1">
        <v>116</v>
      </c>
      <c r="B117" s="1" t="s">
        <v>385</v>
      </c>
      <c r="C117" s="1">
        <v>301</v>
      </c>
      <c r="D117" s="1">
        <v>1</v>
      </c>
      <c r="E117" s="1" t="s">
        <v>382</v>
      </c>
      <c r="F117" s="1">
        <v>77023047</v>
      </c>
      <c r="G117" s="1" t="s">
        <v>15</v>
      </c>
      <c r="H117" s="1" t="s">
        <v>24</v>
      </c>
      <c r="I117" s="1">
        <v>0.37</v>
      </c>
      <c r="J117" s="1" t="s">
        <v>170</v>
      </c>
      <c r="K117" s="1" t="s">
        <v>384</v>
      </c>
      <c r="L117" s="1" t="s">
        <v>28</v>
      </c>
      <c r="M117" s="1" t="s">
        <v>611</v>
      </c>
      <c r="N117" s="1" t="s">
        <v>546</v>
      </c>
      <c r="O117" s="2">
        <v>0.88750543595397358</v>
      </c>
      <c r="P117" s="2">
        <v>1.6704096821082421</v>
      </c>
      <c r="Q117" s="2">
        <v>1.3111231275446951</v>
      </c>
      <c r="R117" s="2">
        <v>1.7811050643295396</v>
      </c>
      <c r="S117" s="2">
        <v>2.1141948425937653</v>
      </c>
      <c r="T117" s="2">
        <v>3.6361886161638934</v>
      </c>
      <c r="U117" s="2">
        <f t="shared" si="2"/>
        <v>1.9000877947823513</v>
      </c>
      <c r="V117" s="3">
        <f t="shared" si="3"/>
        <v>0.94857780157207283</v>
      </c>
      <c r="W117" s="1" t="s">
        <v>561</v>
      </c>
    </row>
    <row r="118" spans="1:23" x14ac:dyDescent="0.3">
      <c r="A118" s="1">
        <v>117</v>
      </c>
      <c r="B118" s="1" t="s">
        <v>387</v>
      </c>
      <c r="C118" s="1">
        <v>301</v>
      </c>
      <c r="D118" s="1">
        <v>1</v>
      </c>
      <c r="E118" s="1" t="s">
        <v>388</v>
      </c>
      <c r="F118" s="1">
        <v>17856139</v>
      </c>
      <c r="G118" s="1" t="s">
        <v>24</v>
      </c>
      <c r="H118" s="1" t="s">
        <v>14</v>
      </c>
      <c r="I118" s="1">
        <v>0.49099999999999999</v>
      </c>
      <c r="J118" s="1" t="s">
        <v>36</v>
      </c>
      <c r="K118" s="1" t="s">
        <v>390</v>
      </c>
      <c r="L118" s="1" t="s">
        <v>118</v>
      </c>
      <c r="M118" s="1" t="s">
        <v>612</v>
      </c>
      <c r="N118" s="1" t="s">
        <v>547</v>
      </c>
      <c r="O118" s="2">
        <v>0.84795565444129006</v>
      </c>
      <c r="P118" s="2">
        <v>1.5440128208327237</v>
      </c>
      <c r="Q118" s="2">
        <v>0.85444508635461247</v>
      </c>
      <c r="R118" s="2">
        <v>2.4077818708503931</v>
      </c>
      <c r="S118" s="2">
        <v>8.8950006708810516</v>
      </c>
      <c r="T118" s="2">
        <v>3.526353441655095</v>
      </c>
      <c r="U118" s="2">
        <f t="shared" si="2"/>
        <v>3.0125915908358607</v>
      </c>
      <c r="V118" s="3">
        <f t="shared" si="3"/>
        <v>3.0572030124734462</v>
      </c>
      <c r="W118" s="1">
        <f>_xlfn.T.TEST(O118:T118,O119:T119,2,3)</f>
        <v>0.4132567263895186</v>
      </c>
    </row>
    <row r="119" spans="1:23" x14ac:dyDescent="0.3">
      <c r="A119" s="1">
        <v>118</v>
      </c>
      <c r="B119" s="1" t="s">
        <v>391</v>
      </c>
      <c r="C119" s="1">
        <v>301</v>
      </c>
      <c r="D119" s="1">
        <v>1</v>
      </c>
      <c r="E119" s="1" t="s">
        <v>388</v>
      </c>
      <c r="F119" s="1">
        <v>17856139</v>
      </c>
      <c r="G119" s="1" t="s">
        <v>24</v>
      </c>
      <c r="H119" s="1" t="s">
        <v>14</v>
      </c>
      <c r="I119" s="1">
        <v>0.49099999999999999</v>
      </c>
      <c r="J119" s="1" t="s">
        <v>36</v>
      </c>
      <c r="K119" s="1" t="s">
        <v>390</v>
      </c>
      <c r="L119" s="1" t="s">
        <v>118</v>
      </c>
      <c r="M119" s="1" t="s">
        <v>612</v>
      </c>
      <c r="N119" s="1" t="s">
        <v>548</v>
      </c>
      <c r="O119" s="2">
        <v>0.75412942093442414</v>
      </c>
      <c r="P119" s="2">
        <v>1.2230493693821036</v>
      </c>
      <c r="Q119" s="2">
        <v>0.53564727557921421</v>
      </c>
      <c r="R119" s="2">
        <v>3.1815553456508119</v>
      </c>
      <c r="S119" s="2">
        <v>1.2353197678593384</v>
      </c>
      <c r="T119" s="2">
        <v>3.9736114805071137</v>
      </c>
      <c r="U119" s="2">
        <f t="shared" si="2"/>
        <v>1.8172187766521677</v>
      </c>
      <c r="V119" s="3">
        <f t="shared" si="3"/>
        <v>1.4124922653464924</v>
      </c>
      <c r="W119" s="1" t="s">
        <v>561</v>
      </c>
    </row>
    <row r="120" spans="1:23" x14ac:dyDescent="0.3">
      <c r="A120" s="1">
        <v>119</v>
      </c>
      <c r="B120" s="1" t="s">
        <v>393</v>
      </c>
      <c r="C120" s="1">
        <v>301</v>
      </c>
      <c r="D120" s="1">
        <v>1</v>
      </c>
      <c r="E120" s="1" t="s">
        <v>394</v>
      </c>
      <c r="F120" s="1">
        <v>38404563</v>
      </c>
      <c r="G120" s="1" t="s">
        <v>24</v>
      </c>
      <c r="H120" s="1" t="s">
        <v>14</v>
      </c>
      <c r="I120" s="1">
        <v>0.98499999999999999</v>
      </c>
      <c r="J120" s="1" t="s">
        <v>36</v>
      </c>
      <c r="K120" s="1" t="s">
        <v>396</v>
      </c>
      <c r="L120" s="1" t="s">
        <v>323</v>
      </c>
      <c r="M120" s="1" t="s">
        <v>613</v>
      </c>
      <c r="N120" s="1" t="s">
        <v>549</v>
      </c>
      <c r="O120" s="2">
        <v>0.45938004922666897</v>
      </c>
      <c r="P120" s="2">
        <v>0.4754912383573639</v>
      </c>
      <c r="Q120" s="2">
        <v>0.60892969298558031</v>
      </c>
      <c r="R120" s="2">
        <v>1.6776239712983618</v>
      </c>
      <c r="S120" s="2">
        <v>1.5687345099138454</v>
      </c>
      <c r="T120" s="2">
        <v>1.8609600809702156</v>
      </c>
      <c r="U120" s="2">
        <f t="shared" si="2"/>
        <v>1.108519923792006</v>
      </c>
      <c r="V120" s="3">
        <f t="shared" si="3"/>
        <v>0.65932410305597211</v>
      </c>
      <c r="W120" s="1">
        <f>_xlfn.T.TEST(O120:T120,O121:T121,2,3)</f>
        <v>0.983263145061681</v>
      </c>
    </row>
    <row r="121" spans="1:23" x14ac:dyDescent="0.3">
      <c r="A121" s="1">
        <v>120</v>
      </c>
      <c r="B121" s="1" t="s">
        <v>397</v>
      </c>
      <c r="C121" s="1">
        <v>301</v>
      </c>
      <c r="D121" s="1">
        <v>1</v>
      </c>
      <c r="E121" s="1" t="s">
        <v>394</v>
      </c>
      <c r="F121" s="1">
        <v>38404563</v>
      </c>
      <c r="G121" s="1" t="s">
        <v>24</v>
      </c>
      <c r="H121" s="1" t="s">
        <v>14</v>
      </c>
      <c r="I121" s="1">
        <v>0.98499999999999999</v>
      </c>
      <c r="J121" s="1" t="s">
        <v>36</v>
      </c>
      <c r="K121" s="1" t="s">
        <v>396</v>
      </c>
      <c r="L121" s="1" t="s">
        <v>323</v>
      </c>
      <c r="M121" s="1" t="s">
        <v>613</v>
      </c>
      <c r="N121" s="1" t="s">
        <v>550</v>
      </c>
      <c r="O121" s="2">
        <v>0.81943220261125704</v>
      </c>
      <c r="P121" s="2">
        <v>0.47970477304502795</v>
      </c>
      <c r="Q121" s="2">
        <v>0.60173598170012854</v>
      </c>
      <c r="R121" s="2">
        <v>2.3638802968548394</v>
      </c>
      <c r="S121" s="2">
        <v>1.2841227433221869</v>
      </c>
      <c r="T121" s="2">
        <v>1.0521557894092464</v>
      </c>
      <c r="U121" s="2">
        <f t="shared" si="2"/>
        <v>1.1001719644904477</v>
      </c>
      <c r="V121" s="3">
        <f t="shared" si="3"/>
        <v>0.68488465742630356</v>
      </c>
      <c r="W121" s="1" t="s">
        <v>561</v>
      </c>
    </row>
    <row r="122" spans="1:23" x14ac:dyDescent="0.3">
      <c r="A122" s="1">
        <v>121</v>
      </c>
      <c r="B122" s="1" t="s">
        <v>399</v>
      </c>
      <c r="C122" s="1">
        <v>301</v>
      </c>
      <c r="D122" s="1">
        <v>1</v>
      </c>
      <c r="E122" s="1" t="s">
        <v>400</v>
      </c>
      <c r="F122" s="1">
        <v>38435575</v>
      </c>
      <c r="G122" s="1" t="s">
        <v>24</v>
      </c>
      <c r="H122" s="1" t="s">
        <v>15</v>
      </c>
      <c r="I122" s="1">
        <v>1</v>
      </c>
      <c r="J122" s="1" t="s">
        <v>36</v>
      </c>
      <c r="K122" s="1" t="s">
        <v>402</v>
      </c>
      <c r="L122" s="1" t="s">
        <v>39</v>
      </c>
      <c r="M122" s="1" t="s">
        <v>614</v>
      </c>
      <c r="N122" s="1" t="s">
        <v>551</v>
      </c>
      <c r="O122" s="2">
        <v>0.18236494840050779</v>
      </c>
      <c r="P122" s="2">
        <v>0.14195609264857165</v>
      </c>
      <c r="Q122" s="2">
        <v>0.19356046543145283</v>
      </c>
      <c r="R122" s="2">
        <v>0.98607967938354546</v>
      </c>
      <c r="S122" s="2">
        <v>1.2408003268271335</v>
      </c>
      <c r="T122" s="2">
        <v>0.46566625938157591</v>
      </c>
      <c r="U122" s="2">
        <f t="shared" si="2"/>
        <v>0.53507129534546449</v>
      </c>
      <c r="V122" s="3">
        <f t="shared" si="3"/>
        <v>0.46943584526132565</v>
      </c>
      <c r="W122" s="1">
        <f>_xlfn.T.TEST(O122:T122,O123:T123,2,3)</f>
        <v>0.10079680049771245</v>
      </c>
    </row>
    <row r="123" spans="1:23" x14ac:dyDescent="0.3">
      <c r="A123" s="1">
        <v>122</v>
      </c>
      <c r="B123" s="1" t="s">
        <v>403</v>
      </c>
      <c r="C123" s="1">
        <v>301</v>
      </c>
      <c r="D123" s="1">
        <v>1</v>
      </c>
      <c r="E123" s="1" t="s">
        <v>400</v>
      </c>
      <c r="F123" s="1">
        <v>38435575</v>
      </c>
      <c r="G123" s="1" t="s">
        <v>24</v>
      </c>
      <c r="H123" s="1" t="s">
        <v>15</v>
      </c>
      <c r="I123" s="1">
        <v>1</v>
      </c>
      <c r="J123" s="1" t="s">
        <v>36</v>
      </c>
      <c r="K123" s="1" t="s">
        <v>402</v>
      </c>
      <c r="L123" s="1" t="s">
        <v>39</v>
      </c>
      <c r="M123" s="1" t="s">
        <v>614</v>
      </c>
      <c r="N123" s="1" t="s">
        <v>552</v>
      </c>
      <c r="O123" s="2">
        <v>0.65963698283962036</v>
      </c>
      <c r="P123" s="2">
        <v>1.1201584590552789</v>
      </c>
      <c r="Q123" s="2">
        <v>0.38844256544976924</v>
      </c>
      <c r="R123" s="2">
        <v>1.1415538438939119</v>
      </c>
      <c r="S123" s="2">
        <v>2.0505479642237048</v>
      </c>
      <c r="T123" s="2">
        <v>1.1185364089888505</v>
      </c>
      <c r="U123" s="2">
        <f t="shared" si="2"/>
        <v>1.0798127040751895</v>
      </c>
      <c r="V123" s="3">
        <f t="shared" si="3"/>
        <v>0.56635792997143342</v>
      </c>
      <c r="W123" s="1" t="s">
        <v>561</v>
      </c>
    </row>
    <row r="124" spans="1:23" x14ac:dyDescent="0.3">
      <c r="A124" s="1">
        <v>123</v>
      </c>
      <c r="B124" s="1" t="s">
        <v>405</v>
      </c>
      <c r="C124" s="1">
        <v>301</v>
      </c>
      <c r="D124" s="1">
        <v>1</v>
      </c>
      <c r="E124" s="1" t="s">
        <v>406</v>
      </c>
      <c r="F124" s="1">
        <v>38472865</v>
      </c>
      <c r="G124" s="1" t="s">
        <v>15</v>
      </c>
      <c r="H124" s="1" t="s">
        <v>72</v>
      </c>
      <c r="I124" s="1">
        <v>6.0999999999999999E-2</v>
      </c>
      <c r="J124" s="1" t="s">
        <v>36</v>
      </c>
      <c r="K124" s="1" t="s">
        <v>408</v>
      </c>
      <c r="L124" s="1" t="s">
        <v>67</v>
      </c>
      <c r="M124" s="1" t="s">
        <v>615</v>
      </c>
      <c r="N124" s="1" t="s">
        <v>553</v>
      </c>
      <c r="O124" s="2">
        <v>0.91827740837061322</v>
      </c>
      <c r="P124" s="2">
        <v>0.33934031374710755</v>
      </c>
      <c r="Q124" s="2">
        <v>0.31270899266299645</v>
      </c>
      <c r="R124" s="2">
        <v>1.4587102850271003</v>
      </c>
      <c r="S124" s="2">
        <v>0.54841737086711484</v>
      </c>
      <c r="T124" s="2">
        <v>1.5637495517670528</v>
      </c>
      <c r="U124" s="2">
        <f t="shared" si="2"/>
        <v>0.85686732040699753</v>
      </c>
      <c r="V124" s="3">
        <f t="shared" si="3"/>
        <v>0.55222323414098284</v>
      </c>
      <c r="W124" s="1">
        <f>_xlfn.T.TEST(O124:T124,O125:T125,2,3)</f>
        <v>0.21828599838769586</v>
      </c>
    </row>
    <row r="125" spans="1:23" x14ac:dyDescent="0.3">
      <c r="A125" s="1">
        <v>124</v>
      </c>
      <c r="B125" s="1" t="s">
        <v>409</v>
      </c>
      <c r="C125" s="1">
        <v>301</v>
      </c>
      <c r="D125" s="1">
        <v>1</v>
      </c>
      <c r="E125" s="1" t="s">
        <v>406</v>
      </c>
      <c r="F125" s="1">
        <v>38472865</v>
      </c>
      <c r="G125" s="1" t="s">
        <v>15</v>
      </c>
      <c r="H125" s="1" t="s">
        <v>72</v>
      </c>
      <c r="I125" s="1">
        <v>6.0999999999999999E-2</v>
      </c>
      <c r="J125" s="1" t="s">
        <v>36</v>
      </c>
      <c r="K125" s="1" t="s">
        <v>408</v>
      </c>
      <c r="L125" s="1" t="s">
        <v>67</v>
      </c>
      <c r="M125" s="1" t="s">
        <v>615</v>
      </c>
      <c r="N125" s="1" t="s">
        <v>554</v>
      </c>
      <c r="O125" s="2">
        <v>0.36686529865491202</v>
      </c>
      <c r="P125" s="2">
        <v>0.30238653071991173</v>
      </c>
      <c r="Q125" s="2">
        <v>0.51494742412207939</v>
      </c>
      <c r="R125" s="2">
        <v>0.76513255447729334</v>
      </c>
      <c r="S125" s="2">
        <v>0.68547308467607027</v>
      </c>
      <c r="T125" s="2">
        <v>0.55331619758809913</v>
      </c>
      <c r="U125" s="2">
        <f t="shared" si="2"/>
        <v>0.53135351503972761</v>
      </c>
      <c r="V125" s="3">
        <f t="shared" si="3"/>
        <v>0.17812313353808368</v>
      </c>
      <c r="W125" s="1" t="s">
        <v>561</v>
      </c>
    </row>
    <row r="126" spans="1:23" x14ac:dyDescent="0.3">
      <c r="A126" s="1">
        <v>125</v>
      </c>
      <c r="B126" s="1" t="s">
        <v>411</v>
      </c>
      <c r="C126" s="1">
        <v>503</v>
      </c>
      <c r="D126" s="1">
        <v>2</v>
      </c>
      <c r="E126" s="1" t="s">
        <v>412</v>
      </c>
      <c r="F126" s="1" t="s">
        <v>413</v>
      </c>
      <c r="G126" s="1" t="s">
        <v>359</v>
      </c>
      <c r="H126" s="1" t="s">
        <v>414</v>
      </c>
      <c r="I126" s="1" t="s">
        <v>576</v>
      </c>
      <c r="J126" s="1" t="s">
        <v>36</v>
      </c>
      <c r="K126" s="1" t="s">
        <v>408</v>
      </c>
      <c r="L126" s="1" t="s">
        <v>67</v>
      </c>
      <c r="M126" s="1" t="s">
        <v>615</v>
      </c>
      <c r="N126" s="1" t="s">
        <v>555</v>
      </c>
      <c r="O126" s="2">
        <v>1.579385917214942</v>
      </c>
      <c r="P126" s="2">
        <v>2.4309247621787686</v>
      </c>
      <c r="Q126" s="2">
        <v>1.3005202242600231</v>
      </c>
      <c r="R126" s="2">
        <v>1.4812357193940517</v>
      </c>
      <c r="S126" s="2">
        <v>2.0199054916745509</v>
      </c>
      <c r="T126" s="2">
        <v>1.7854743709226331</v>
      </c>
      <c r="U126" s="2">
        <f t="shared" si="2"/>
        <v>1.7662410809408284</v>
      </c>
      <c r="V126" s="3">
        <f t="shared" si="3"/>
        <v>0.40977036825260199</v>
      </c>
      <c r="W126" s="1">
        <f>_xlfn.T.TEST(O126:T126,O127:T127,2,3)</f>
        <v>6.8097401580747413E-4</v>
      </c>
    </row>
    <row r="127" spans="1:23" x14ac:dyDescent="0.3">
      <c r="A127" s="1">
        <v>126</v>
      </c>
      <c r="B127" s="1" t="s">
        <v>416</v>
      </c>
      <c r="C127" s="1">
        <v>503</v>
      </c>
      <c r="D127" s="1">
        <v>2</v>
      </c>
      <c r="E127" s="1" t="s">
        <v>412</v>
      </c>
      <c r="F127" s="1" t="s">
        <v>413</v>
      </c>
      <c r="G127" s="1" t="s">
        <v>359</v>
      </c>
      <c r="H127" s="1" t="s">
        <v>414</v>
      </c>
      <c r="I127" s="1" t="s">
        <v>576</v>
      </c>
      <c r="J127" s="1" t="s">
        <v>36</v>
      </c>
      <c r="K127" s="1" t="s">
        <v>408</v>
      </c>
      <c r="L127" s="1" t="s">
        <v>67</v>
      </c>
      <c r="M127" s="1" t="s">
        <v>615</v>
      </c>
      <c r="N127" s="1" t="s">
        <v>556</v>
      </c>
      <c r="O127" s="2">
        <v>0.41416543762015023</v>
      </c>
      <c r="P127" s="2">
        <v>0.81757816638499725</v>
      </c>
      <c r="Q127" s="2">
        <v>0.60489050577153036</v>
      </c>
      <c r="R127" s="2">
        <v>1.2332803248463631</v>
      </c>
      <c r="S127" s="2">
        <v>0.62573694649942013</v>
      </c>
      <c r="T127" s="2">
        <v>0.69989217709601848</v>
      </c>
      <c r="U127" s="2">
        <f t="shared" si="2"/>
        <v>0.73259059303641327</v>
      </c>
      <c r="V127" s="3">
        <f t="shared" si="3"/>
        <v>0.27860433422191944</v>
      </c>
      <c r="W127" s="1" t="s">
        <v>561</v>
      </c>
    </row>
    <row r="128" spans="1:23" x14ac:dyDescent="0.3">
      <c r="A128" s="1">
        <v>127</v>
      </c>
      <c r="B128" s="1" t="s">
        <v>418</v>
      </c>
      <c r="C128" s="1">
        <v>301</v>
      </c>
      <c r="D128" s="1">
        <v>1</v>
      </c>
      <c r="E128" s="1" t="s">
        <v>419</v>
      </c>
      <c r="F128" s="1">
        <v>38477630</v>
      </c>
      <c r="G128" s="1" t="s">
        <v>24</v>
      </c>
      <c r="H128" s="1" t="s">
        <v>72</v>
      </c>
      <c r="I128" s="1">
        <v>0.20599999999999999</v>
      </c>
      <c r="J128" s="1" t="s">
        <v>36</v>
      </c>
      <c r="K128" s="1" t="s">
        <v>408</v>
      </c>
      <c r="L128" s="1" t="s">
        <v>118</v>
      </c>
      <c r="M128" s="1" t="s">
        <v>615</v>
      </c>
      <c r="N128" s="1" t="s">
        <v>557</v>
      </c>
      <c r="O128" s="2">
        <v>1.0710372708669822</v>
      </c>
      <c r="P128" s="2">
        <v>1.4716009651543744</v>
      </c>
      <c r="Q128" s="2">
        <v>1.3996096429189264</v>
      </c>
      <c r="R128" s="2">
        <v>1.7781463507171593</v>
      </c>
      <c r="S128" s="2">
        <v>2.3134453369305592</v>
      </c>
      <c r="T128" s="2">
        <v>2.1146983421990506</v>
      </c>
      <c r="U128" s="2">
        <f t="shared" si="2"/>
        <v>1.6914229847978419</v>
      </c>
      <c r="V128" s="3">
        <f t="shared" si="3"/>
        <v>0.4673221496570415</v>
      </c>
      <c r="W128" s="1">
        <f>_xlfn.T.TEST(O128:T128,O129:T129,2,3)</f>
        <v>0.57534872049815988</v>
      </c>
    </row>
    <row r="129" spans="1:23" x14ac:dyDescent="0.3">
      <c r="A129" s="1">
        <v>128</v>
      </c>
      <c r="B129" s="1" t="s">
        <v>421</v>
      </c>
      <c r="C129" s="1">
        <v>301</v>
      </c>
      <c r="D129" s="1">
        <v>1</v>
      </c>
      <c r="E129" s="1" t="s">
        <v>419</v>
      </c>
      <c r="F129" s="1">
        <v>38477630</v>
      </c>
      <c r="G129" s="1" t="s">
        <v>24</v>
      </c>
      <c r="H129" s="1" t="s">
        <v>72</v>
      </c>
      <c r="I129" s="1">
        <v>0.20599999999999999</v>
      </c>
      <c r="J129" s="1" t="s">
        <v>36</v>
      </c>
      <c r="K129" s="1" t="s">
        <v>408</v>
      </c>
      <c r="L129" s="1" t="s">
        <v>118</v>
      </c>
      <c r="M129" s="1" t="s">
        <v>615</v>
      </c>
      <c r="N129" s="1" t="s">
        <v>558</v>
      </c>
      <c r="O129" s="2">
        <v>1.6501649157005946</v>
      </c>
      <c r="P129" s="2">
        <v>1.5724908658387167</v>
      </c>
      <c r="Q129" s="2">
        <v>2.0032327590593164</v>
      </c>
      <c r="R129" s="2">
        <v>1.8365709626511555</v>
      </c>
      <c r="S129" s="2">
        <v>1.8739841473433858</v>
      </c>
      <c r="T129" s="2">
        <v>1.9300709220011838</v>
      </c>
      <c r="U129" s="2">
        <f t="shared" si="2"/>
        <v>1.8110857620990588</v>
      </c>
      <c r="V129" s="3">
        <f t="shared" si="3"/>
        <v>0.16643718476253158</v>
      </c>
      <c r="W129" s="1" t="s">
        <v>561</v>
      </c>
    </row>
    <row r="130" spans="1:23" x14ac:dyDescent="0.3">
      <c r="A130" s="1">
        <v>129</v>
      </c>
      <c r="B130" s="1" t="s">
        <v>423</v>
      </c>
      <c r="C130" s="1">
        <v>301</v>
      </c>
      <c r="D130" s="1">
        <v>1</v>
      </c>
      <c r="E130" s="1" t="s">
        <v>424</v>
      </c>
      <c r="F130" s="1">
        <v>38478786</v>
      </c>
      <c r="G130" s="1" t="s">
        <v>72</v>
      </c>
      <c r="H130" s="1" t="s">
        <v>15</v>
      </c>
      <c r="I130" s="1">
        <v>0.30499999999999999</v>
      </c>
      <c r="J130" s="1" t="s">
        <v>36</v>
      </c>
      <c r="K130" s="1" t="s">
        <v>408</v>
      </c>
      <c r="L130" s="1" t="s">
        <v>118</v>
      </c>
      <c r="M130" s="1" t="s">
        <v>615</v>
      </c>
      <c r="N130" s="1" t="s">
        <v>559</v>
      </c>
      <c r="O130" s="2">
        <v>1.0174417386575854</v>
      </c>
      <c r="P130" s="2">
        <v>0.5823351043777083</v>
      </c>
      <c r="Q130" s="2">
        <v>0.74109090424208546</v>
      </c>
      <c r="R130" s="2">
        <v>2.1996953693163075</v>
      </c>
      <c r="S130" s="2">
        <v>1.8315285685891516</v>
      </c>
      <c r="T130" s="2">
        <v>0.88846953076410384</v>
      </c>
      <c r="U130" s="2">
        <f t="shared" si="2"/>
        <v>1.2100935359911569</v>
      </c>
      <c r="V130" s="3">
        <f t="shared" si="3"/>
        <v>0.65116727821106779</v>
      </c>
      <c r="W130" s="1">
        <f>_xlfn.T.TEST(O130:T130,O131:T131,2,3)</f>
        <v>0.3545288808145407</v>
      </c>
    </row>
    <row r="131" spans="1:23" x14ac:dyDescent="0.3">
      <c r="A131" s="1">
        <v>130</v>
      </c>
      <c r="B131" s="1" t="s">
        <v>426</v>
      </c>
      <c r="C131" s="1">
        <v>301</v>
      </c>
      <c r="D131" s="1">
        <v>1</v>
      </c>
      <c r="E131" s="1" t="s">
        <v>424</v>
      </c>
      <c r="F131" s="1">
        <v>38478786</v>
      </c>
      <c r="G131" s="1" t="s">
        <v>72</v>
      </c>
      <c r="H131" s="1" t="s">
        <v>15</v>
      </c>
      <c r="I131" s="1">
        <v>0.30499999999999999</v>
      </c>
      <c r="J131" s="1" t="s">
        <v>36</v>
      </c>
      <c r="K131" s="1" t="s">
        <v>408</v>
      </c>
      <c r="L131" s="1" t="s">
        <v>118</v>
      </c>
      <c r="M131" s="1" t="s">
        <v>615</v>
      </c>
      <c r="N131" s="1" t="s">
        <v>560</v>
      </c>
      <c r="O131" s="2">
        <v>0.88813476183822659</v>
      </c>
      <c r="P131" s="2">
        <v>0.41264805409546218</v>
      </c>
      <c r="Q131" s="2">
        <v>2.0242760810316223</v>
      </c>
      <c r="R131" s="2">
        <v>0.68495115085525093</v>
      </c>
      <c r="S131" s="2">
        <v>0.44323083399485325</v>
      </c>
      <c r="T131" s="2">
        <v>0.70502354941507095</v>
      </c>
      <c r="U131" s="2">
        <f t="shared" si="2"/>
        <v>0.85971073853841451</v>
      </c>
      <c r="V131" s="3">
        <f t="shared" si="3"/>
        <v>0.59746296231865181</v>
      </c>
      <c r="W131" s="1" t="s">
        <v>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E585-7FC8-4524-91B5-FDA8106BA2A2}">
  <sheetPr>
    <tabColor theme="6" tint="0.39997558519241921"/>
  </sheetPr>
  <dimension ref="A1:AB131"/>
  <sheetViews>
    <sheetView zoomScale="70" zoomScaleNormal="70" workbookViewId="0">
      <selection activeCell="N1" sqref="N1"/>
    </sheetView>
  </sheetViews>
  <sheetFormatPr defaultColWidth="11.44140625" defaultRowHeight="14.4" x14ac:dyDescent="0.3"/>
  <cols>
    <col min="1" max="1" width="4.44140625" style="1" bestFit="1" customWidth="1"/>
    <col min="2" max="2" width="33.88671875" style="1" bestFit="1" customWidth="1"/>
    <col min="3" max="3" width="5.88671875" style="1" customWidth="1"/>
    <col min="4" max="4" width="7.33203125" style="1" customWidth="1"/>
    <col min="5" max="5" width="53.33203125" style="1" customWidth="1"/>
    <col min="6" max="6" width="44.44140625" style="1" customWidth="1"/>
    <col min="7" max="7" width="15" style="1" customWidth="1"/>
    <col min="8" max="8" width="14" style="1" customWidth="1"/>
    <col min="9" max="9" width="29.5546875" style="1" bestFit="1" customWidth="1"/>
    <col min="10" max="10" width="17" style="1" customWidth="1"/>
    <col min="11" max="11" width="42.5546875" style="1" customWidth="1"/>
    <col min="12" max="12" width="30.6640625" style="1" bestFit="1" customWidth="1"/>
    <col min="13" max="13" width="11.44140625" style="1"/>
    <col min="14" max="14" width="7.33203125" style="1" bestFit="1" customWidth="1"/>
    <col min="15" max="15" width="17.88671875" style="1" bestFit="1" customWidth="1"/>
    <col min="16" max="16" width="18.33203125" style="1" bestFit="1" customWidth="1"/>
    <col min="17" max="20" width="18.33203125" style="1" customWidth="1"/>
    <col min="21" max="21" width="14.88671875" style="1" bestFit="1" customWidth="1"/>
    <col min="22" max="22" width="19.109375" style="1" bestFit="1" customWidth="1"/>
    <col min="23" max="23" width="14.88671875" style="1" bestFit="1" customWidth="1"/>
    <col min="24" max="24" width="9.109375" style="1" customWidth="1"/>
    <col min="25" max="26" width="12.5546875" style="1" customWidth="1"/>
    <col min="27" max="27" width="9.109375" style="1" customWidth="1"/>
    <col min="28" max="28" width="41.88671875" style="1" customWidth="1"/>
    <col min="29" max="16384" width="11.44140625" style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566</v>
      </c>
      <c r="J1" s="1" t="s">
        <v>8</v>
      </c>
      <c r="K1" s="1" t="s">
        <v>10</v>
      </c>
      <c r="L1" s="1" t="s">
        <v>11</v>
      </c>
      <c r="M1" s="1" t="s">
        <v>577</v>
      </c>
      <c r="N1" s="1" t="s">
        <v>756</v>
      </c>
      <c r="O1" s="1" t="s">
        <v>428</v>
      </c>
      <c r="P1" s="1" t="s">
        <v>429</v>
      </c>
      <c r="Q1" s="1" t="s">
        <v>430</v>
      </c>
      <c r="R1" s="1" t="s">
        <v>620</v>
      </c>
      <c r="S1" s="1" t="s">
        <v>621</v>
      </c>
      <c r="T1" s="1" t="s">
        <v>622</v>
      </c>
      <c r="U1" s="1" t="s">
        <v>618</v>
      </c>
      <c r="V1" s="1" t="s">
        <v>617</v>
      </c>
      <c r="W1" s="1" t="s">
        <v>619</v>
      </c>
    </row>
    <row r="2" spans="1:23" x14ac:dyDescent="0.3">
      <c r="A2" s="1">
        <v>1</v>
      </c>
      <c r="B2" s="1" t="s">
        <v>12</v>
      </c>
      <c r="C2" s="1">
        <v>301</v>
      </c>
      <c r="D2" s="1">
        <v>1</v>
      </c>
      <c r="E2" s="1" t="s">
        <v>13</v>
      </c>
      <c r="F2" s="1">
        <v>17009824</v>
      </c>
      <c r="G2" s="1" t="s">
        <v>14</v>
      </c>
      <c r="H2" s="1" t="s">
        <v>15</v>
      </c>
      <c r="I2" s="1">
        <v>0.72499999999999998</v>
      </c>
      <c r="J2" s="1" t="s">
        <v>16</v>
      </c>
      <c r="K2" s="1" t="s">
        <v>18</v>
      </c>
      <c r="L2" s="1" t="s">
        <v>19</v>
      </c>
      <c r="M2" s="1" t="s">
        <v>578</v>
      </c>
      <c r="N2" s="1" t="s">
        <v>431</v>
      </c>
      <c r="O2" s="2">
        <v>1.2925693189365592</v>
      </c>
      <c r="P2" s="2">
        <v>1.5447379914290282</v>
      </c>
      <c r="Q2" s="2">
        <v>1.1657327707919556</v>
      </c>
      <c r="R2" s="2">
        <v>1.7840495706270265</v>
      </c>
      <c r="S2" s="2">
        <v>2.0035026087663015</v>
      </c>
      <c r="T2" s="2">
        <v>2.038978596483215</v>
      </c>
      <c r="U2" s="2">
        <f>AVERAGE(O2:T2)</f>
        <v>1.6382618095056809</v>
      </c>
      <c r="V2" s="3">
        <f>STDEV(O2:T2)</f>
        <v>0.36517462976339049</v>
      </c>
      <c r="W2" s="1">
        <f>_xlfn.T.TEST(O2:T2,O3:T3,2,3)</f>
        <v>2.4905430191794017E-2</v>
      </c>
    </row>
    <row r="3" spans="1:23" x14ac:dyDescent="0.3">
      <c r="A3" s="1">
        <v>2</v>
      </c>
      <c r="B3" s="1" t="s">
        <v>20</v>
      </c>
      <c r="C3" s="1">
        <v>301</v>
      </c>
      <c r="D3" s="1">
        <v>1</v>
      </c>
      <c r="E3" s="1" t="s">
        <v>13</v>
      </c>
      <c r="F3" s="1">
        <v>17009824</v>
      </c>
      <c r="G3" s="1" t="s">
        <v>14</v>
      </c>
      <c r="H3" s="1" t="s">
        <v>15</v>
      </c>
      <c r="I3" s="1">
        <v>0.72499999999999998</v>
      </c>
      <c r="J3" s="1" t="s">
        <v>16</v>
      </c>
      <c r="K3" s="1" t="s">
        <v>18</v>
      </c>
      <c r="L3" s="1" t="s">
        <v>19</v>
      </c>
      <c r="M3" s="1" t="s">
        <v>578</v>
      </c>
      <c r="N3" s="1" t="s">
        <v>432</v>
      </c>
      <c r="O3" s="2">
        <v>1.2506054805525695</v>
      </c>
      <c r="P3" s="2">
        <v>1.2195091337302748</v>
      </c>
      <c r="Q3" s="2">
        <v>0.96598724173344042</v>
      </c>
      <c r="R3" s="2">
        <v>1.203108786819185</v>
      </c>
      <c r="S3" s="2">
        <v>1.124198490299976</v>
      </c>
      <c r="T3" s="2">
        <v>1.2765353301087876</v>
      </c>
      <c r="U3" s="2">
        <f>AVERAGE(O3:T3)</f>
        <v>1.1733240772073721</v>
      </c>
      <c r="V3" s="3">
        <f>STDEV(O3:T3)</f>
        <v>0.11405880328541687</v>
      </c>
      <c r="W3" s="1" t="s">
        <v>561</v>
      </c>
    </row>
    <row r="4" spans="1:23" x14ac:dyDescent="0.3">
      <c r="A4" s="1">
        <v>3</v>
      </c>
      <c r="B4" s="1" t="s">
        <v>22</v>
      </c>
      <c r="C4" s="1">
        <v>301</v>
      </c>
      <c r="D4" s="1">
        <v>1</v>
      </c>
      <c r="E4" s="1" t="s">
        <v>23</v>
      </c>
      <c r="F4" s="1">
        <v>54764162</v>
      </c>
      <c r="G4" s="1" t="s">
        <v>24</v>
      </c>
      <c r="H4" s="1" t="s">
        <v>15</v>
      </c>
      <c r="I4" s="1">
        <v>0.13</v>
      </c>
      <c r="J4" s="1" t="s">
        <v>25</v>
      </c>
      <c r="K4" s="1" t="s">
        <v>27</v>
      </c>
      <c r="L4" s="1" t="s">
        <v>28</v>
      </c>
      <c r="M4" s="1" t="s">
        <v>579</v>
      </c>
      <c r="N4" s="1" t="s">
        <v>433</v>
      </c>
      <c r="O4" s="2">
        <v>0.21453144970333632</v>
      </c>
      <c r="P4" s="2">
        <v>0.31139588724202211</v>
      </c>
      <c r="Q4" s="2">
        <v>0.49398865096935352</v>
      </c>
      <c r="R4" s="2">
        <v>0.18203786796211904</v>
      </c>
      <c r="S4" s="2">
        <v>0.21838872154436406</v>
      </c>
      <c r="T4" s="2">
        <v>0.27385172713078609</v>
      </c>
      <c r="U4" s="2">
        <f t="shared" ref="U4:U67" si="0">AVERAGE(O4:T4)</f>
        <v>0.28236571742533018</v>
      </c>
      <c r="V4" s="3">
        <f t="shared" ref="V4:V67" si="1">STDEV(O4:T4)</f>
        <v>0.11354270214271346</v>
      </c>
      <c r="W4" s="1">
        <f>_xlfn.T.TEST(O4:T4,O5:T5,2,3)</f>
        <v>0.5470220018483537</v>
      </c>
    </row>
    <row r="5" spans="1:23" x14ac:dyDescent="0.3">
      <c r="A5" s="1">
        <v>4</v>
      </c>
      <c r="B5" s="1" t="s">
        <v>29</v>
      </c>
      <c r="C5" s="1">
        <v>301</v>
      </c>
      <c r="D5" s="1">
        <v>1</v>
      </c>
      <c r="E5" s="1" t="s">
        <v>23</v>
      </c>
      <c r="F5" s="1">
        <v>54764162</v>
      </c>
      <c r="G5" s="1" t="s">
        <v>24</v>
      </c>
      <c r="H5" s="1" t="s">
        <v>15</v>
      </c>
      <c r="I5" s="1">
        <v>0.13</v>
      </c>
      <c r="J5" s="1" t="s">
        <v>25</v>
      </c>
      <c r="K5" s="1" t="s">
        <v>27</v>
      </c>
      <c r="L5" s="1" t="s">
        <v>28</v>
      </c>
      <c r="M5" s="1" t="s">
        <v>579</v>
      </c>
      <c r="N5" s="1" t="s">
        <v>434</v>
      </c>
      <c r="O5" s="2">
        <v>0.36728745674700047</v>
      </c>
      <c r="P5" s="2">
        <v>0.25905350702219804</v>
      </c>
      <c r="Q5" s="2">
        <v>0.21622958782763713</v>
      </c>
      <c r="R5" s="2">
        <v>0.24194462003452938</v>
      </c>
      <c r="S5" s="2">
        <v>0.21453217540007533</v>
      </c>
      <c r="T5" s="2">
        <v>0.19555905912345081</v>
      </c>
      <c r="U5" s="2">
        <f t="shared" si="0"/>
        <v>0.24910106769248186</v>
      </c>
      <c r="V5" s="3">
        <f t="shared" si="1"/>
        <v>6.2065413128205044E-2</v>
      </c>
      <c r="W5" s="1" t="s">
        <v>561</v>
      </c>
    </row>
    <row r="6" spans="1:23" x14ac:dyDescent="0.3">
      <c r="A6" s="1">
        <v>5</v>
      </c>
      <c r="B6" s="1" t="s">
        <v>31</v>
      </c>
      <c r="C6" s="1">
        <v>583</v>
      </c>
      <c r="D6" s="1">
        <v>2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567</v>
      </c>
      <c r="J6" s="1" t="s">
        <v>36</v>
      </c>
      <c r="K6" s="1" t="s">
        <v>38</v>
      </c>
      <c r="L6" s="1" t="s">
        <v>39</v>
      </c>
      <c r="M6" s="1" t="s">
        <v>580</v>
      </c>
      <c r="N6" s="1" t="s">
        <v>435</v>
      </c>
      <c r="O6" s="2">
        <v>1.7584000914671067</v>
      </c>
      <c r="P6" s="2">
        <v>1.0987231612089756</v>
      </c>
      <c r="Q6" s="2">
        <v>1.2966932561182669</v>
      </c>
      <c r="R6" s="2">
        <v>1.2754609688558949</v>
      </c>
      <c r="S6" s="2">
        <v>1.2146376002670982</v>
      </c>
      <c r="T6" s="2">
        <v>1.0279088342349343</v>
      </c>
      <c r="U6" s="2">
        <f t="shared" si="0"/>
        <v>1.2786373186920461</v>
      </c>
      <c r="V6" s="3">
        <f t="shared" si="1"/>
        <v>0.25684168865466989</v>
      </c>
      <c r="W6" s="1">
        <f>_xlfn.T.TEST(O6:T6,O7:T7,2,3)</f>
        <v>0.50602644468316038</v>
      </c>
    </row>
    <row r="7" spans="1:23" x14ac:dyDescent="0.3">
      <c r="A7" s="1">
        <v>6</v>
      </c>
      <c r="B7" s="1" t="s">
        <v>40</v>
      </c>
      <c r="C7" s="1">
        <v>583</v>
      </c>
      <c r="D7" s="1">
        <v>2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567</v>
      </c>
      <c r="J7" s="1" t="s">
        <v>36</v>
      </c>
      <c r="K7" s="1" t="s">
        <v>38</v>
      </c>
      <c r="L7" s="1" t="s">
        <v>39</v>
      </c>
      <c r="M7" s="1" t="s">
        <v>580</v>
      </c>
      <c r="N7" s="1" t="s">
        <v>436</v>
      </c>
      <c r="O7" s="2">
        <v>0.99232049717610649</v>
      </c>
      <c r="P7" s="2">
        <v>1.1693958703525467</v>
      </c>
      <c r="Q7" s="2">
        <v>1.0317877896774288</v>
      </c>
      <c r="R7" s="2">
        <v>1.7507112705698549</v>
      </c>
      <c r="S7" s="2">
        <v>1.8284835965162731</v>
      </c>
      <c r="T7" s="2">
        <v>1.685994571717337</v>
      </c>
      <c r="U7" s="2">
        <f t="shared" si="0"/>
        <v>1.4097822660015913</v>
      </c>
      <c r="V7" s="3">
        <f t="shared" si="1"/>
        <v>0.38542869637200017</v>
      </c>
      <c r="W7" s="1" t="s">
        <v>561</v>
      </c>
    </row>
    <row r="8" spans="1:23" x14ac:dyDescent="0.3">
      <c r="A8" s="1">
        <v>7</v>
      </c>
      <c r="B8" s="1" t="s">
        <v>42</v>
      </c>
      <c r="C8" s="1">
        <v>301</v>
      </c>
      <c r="D8" s="1">
        <v>1</v>
      </c>
      <c r="E8" s="1" t="s">
        <v>43</v>
      </c>
      <c r="F8" s="1">
        <v>10331310</v>
      </c>
      <c r="G8" s="1" t="s">
        <v>15</v>
      </c>
      <c r="H8" s="1" t="s">
        <v>24</v>
      </c>
      <c r="I8" s="1">
        <v>0.19600000000000001</v>
      </c>
      <c r="J8" s="1" t="s">
        <v>44</v>
      </c>
      <c r="K8" s="1" t="s">
        <v>46</v>
      </c>
      <c r="L8" s="1" t="s">
        <v>47</v>
      </c>
      <c r="M8" s="1" t="s">
        <v>581</v>
      </c>
      <c r="N8" s="1" t="s">
        <v>437</v>
      </c>
      <c r="O8" s="2">
        <v>0.35454349694883941</v>
      </c>
      <c r="P8" s="2">
        <v>0.48206478698043809</v>
      </c>
      <c r="Q8" s="2">
        <v>0.32137652465362537</v>
      </c>
      <c r="R8" s="2">
        <v>0.37988632678113143</v>
      </c>
      <c r="S8" s="2">
        <v>0.36076949259586633</v>
      </c>
      <c r="T8" s="2">
        <v>0.41425639820546251</v>
      </c>
      <c r="U8" s="2">
        <f t="shared" si="0"/>
        <v>0.38548283769422714</v>
      </c>
      <c r="V8" s="3">
        <f t="shared" si="1"/>
        <v>5.632925217005471E-2</v>
      </c>
      <c r="W8" s="1">
        <f>_xlfn.T.TEST(O8:T8,O9:T9,2,3)</f>
        <v>5.1827143818880525E-2</v>
      </c>
    </row>
    <row r="9" spans="1:23" x14ac:dyDescent="0.3">
      <c r="A9" s="1">
        <v>8</v>
      </c>
      <c r="B9" s="1" t="s">
        <v>48</v>
      </c>
      <c r="C9" s="1">
        <v>301</v>
      </c>
      <c r="D9" s="1">
        <v>1</v>
      </c>
      <c r="E9" s="1" t="s">
        <v>43</v>
      </c>
      <c r="F9" s="1">
        <v>10331310</v>
      </c>
      <c r="G9" s="1" t="s">
        <v>15</v>
      </c>
      <c r="H9" s="1" t="s">
        <v>24</v>
      </c>
      <c r="I9" s="1">
        <v>0.19600000000000001</v>
      </c>
      <c r="J9" s="1" t="s">
        <v>44</v>
      </c>
      <c r="K9" s="1" t="s">
        <v>46</v>
      </c>
      <c r="L9" s="1" t="s">
        <v>47</v>
      </c>
      <c r="M9" s="1" t="s">
        <v>581</v>
      </c>
      <c r="N9" s="1" t="s">
        <v>438</v>
      </c>
      <c r="O9" s="2">
        <v>0.49178614092903533</v>
      </c>
      <c r="P9" s="2">
        <v>0.44314030107518532</v>
      </c>
      <c r="Q9" s="2">
        <v>0.45685878504682037</v>
      </c>
      <c r="R9" s="2">
        <v>0.46932558332911622</v>
      </c>
      <c r="S9" s="2">
        <v>0.4326906366036874</v>
      </c>
      <c r="T9" s="2">
        <v>0.38812371264116557</v>
      </c>
      <c r="U9" s="2">
        <f t="shared" si="0"/>
        <v>0.44698752660416835</v>
      </c>
      <c r="V9" s="3">
        <f t="shared" si="1"/>
        <v>3.546123847003798E-2</v>
      </c>
      <c r="W9" s="1" t="s">
        <v>561</v>
      </c>
    </row>
    <row r="10" spans="1:23" x14ac:dyDescent="0.3">
      <c r="A10" s="1">
        <v>9</v>
      </c>
      <c r="B10" s="1" t="s">
        <v>50</v>
      </c>
      <c r="C10" s="1">
        <v>301</v>
      </c>
      <c r="D10" s="1">
        <v>1</v>
      </c>
      <c r="E10" s="1" t="s">
        <v>51</v>
      </c>
      <c r="F10" s="1">
        <v>105337189</v>
      </c>
      <c r="G10" s="1" t="s">
        <v>15</v>
      </c>
      <c r="H10" s="1" t="s">
        <v>24</v>
      </c>
      <c r="I10" s="1">
        <v>0.34499999999999997</v>
      </c>
      <c r="J10" s="1" t="s">
        <v>44</v>
      </c>
      <c r="K10" s="1" t="s">
        <v>53</v>
      </c>
      <c r="L10" s="1" t="s">
        <v>54</v>
      </c>
      <c r="M10" s="1" t="s">
        <v>582</v>
      </c>
      <c r="N10" s="1" t="s">
        <v>439</v>
      </c>
      <c r="O10" s="2">
        <v>7.9419731123092987</v>
      </c>
      <c r="P10" s="2">
        <v>8.0434405468084336</v>
      </c>
      <c r="Q10" s="2">
        <v>7.6972311888351914</v>
      </c>
      <c r="R10" s="2">
        <v>7.5437867248650816</v>
      </c>
      <c r="S10" s="2">
        <v>7.4538693551862369</v>
      </c>
      <c r="T10" s="2">
        <v>7.5183919595024431</v>
      </c>
      <c r="U10" s="2">
        <f t="shared" si="0"/>
        <v>7.699782147917781</v>
      </c>
      <c r="V10" s="3">
        <f t="shared" si="1"/>
        <v>0.24268256626671439</v>
      </c>
      <c r="W10" s="1">
        <f>_xlfn.T.TEST(O10:T10,O11:T11,2,3)</f>
        <v>0.13029479343766989</v>
      </c>
    </row>
    <row r="11" spans="1:23" x14ac:dyDescent="0.3">
      <c r="A11" s="1">
        <v>10</v>
      </c>
      <c r="B11" s="1" t="s">
        <v>55</v>
      </c>
      <c r="C11" s="1">
        <v>301</v>
      </c>
      <c r="D11" s="1">
        <v>1</v>
      </c>
      <c r="E11" s="1" t="s">
        <v>51</v>
      </c>
      <c r="F11" s="1">
        <v>105337189</v>
      </c>
      <c r="G11" s="1" t="s">
        <v>15</v>
      </c>
      <c r="H11" s="1" t="s">
        <v>24</v>
      </c>
      <c r="I11" s="1">
        <v>0.34499999999999997</v>
      </c>
      <c r="J11" s="1" t="s">
        <v>44</v>
      </c>
      <c r="K11" s="1" t="s">
        <v>53</v>
      </c>
      <c r="L11" s="1" t="s">
        <v>54</v>
      </c>
      <c r="M11" s="1" t="s">
        <v>582</v>
      </c>
      <c r="N11" s="1" t="s">
        <v>440</v>
      </c>
      <c r="O11" s="2">
        <v>7.1791696468136035</v>
      </c>
      <c r="P11" s="2">
        <v>7.9405951246715638</v>
      </c>
      <c r="Q11" s="2">
        <v>7.7387467136592987</v>
      </c>
      <c r="R11" s="2">
        <v>8.9024926487843405</v>
      </c>
      <c r="S11" s="2">
        <v>8.8230009978429678</v>
      </c>
      <c r="T11" s="2">
        <v>8.9918006434009214</v>
      </c>
      <c r="U11" s="2">
        <f t="shared" si="0"/>
        <v>8.2626342958621155</v>
      </c>
      <c r="V11" s="3">
        <f t="shared" si="1"/>
        <v>0.74928982205573147</v>
      </c>
      <c r="W11" s="1" t="s">
        <v>561</v>
      </c>
    </row>
    <row r="12" spans="1:23" x14ac:dyDescent="0.3">
      <c r="A12" s="1">
        <v>11</v>
      </c>
      <c r="B12" s="1" t="s">
        <v>57</v>
      </c>
      <c r="C12" s="1">
        <v>301</v>
      </c>
      <c r="D12" s="1">
        <v>1</v>
      </c>
      <c r="E12" s="1" t="s">
        <v>58</v>
      </c>
      <c r="F12" s="1">
        <v>145366886</v>
      </c>
      <c r="G12" s="1" t="s">
        <v>14</v>
      </c>
      <c r="H12" s="1" t="s">
        <v>15</v>
      </c>
      <c r="I12" s="1">
        <v>0.83899999999999997</v>
      </c>
      <c r="J12" s="1" t="s">
        <v>36</v>
      </c>
      <c r="K12" s="1" t="s">
        <v>60</v>
      </c>
      <c r="L12" s="1" t="s">
        <v>19</v>
      </c>
      <c r="M12" s="1" t="s">
        <v>583</v>
      </c>
      <c r="N12" s="1" t="s">
        <v>441</v>
      </c>
      <c r="O12" s="2">
        <v>2.0954737172804991</v>
      </c>
      <c r="P12" s="2">
        <v>1.8137090995303611</v>
      </c>
      <c r="Q12" s="2">
        <v>1.8826198781484564</v>
      </c>
      <c r="R12" s="2">
        <v>2.0668255601385783</v>
      </c>
      <c r="S12" s="2">
        <v>1.9432011122057911</v>
      </c>
      <c r="T12" s="2">
        <v>2.1934206519161696</v>
      </c>
      <c r="U12" s="2">
        <f t="shared" si="0"/>
        <v>1.9992083365366426</v>
      </c>
      <c r="V12" s="3">
        <f t="shared" si="1"/>
        <v>0.14331586139640196</v>
      </c>
      <c r="W12" s="1">
        <f>_xlfn.T.TEST(O12:T12,O13:T13,2,3)</f>
        <v>2.144249199880771E-7</v>
      </c>
    </row>
    <row r="13" spans="1:23" x14ac:dyDescent="0.3">
      <c r="A13" s="1">
        <v>12</v>
      </c>
      <c r="B13" s="1" t="s">
        <v>61</v>
      </c>
      <c r="C13" s="1">
        <v>301</v>
      </c>
      <c r="D13" s="1">
        <v>1</v>
      </c>
      <c r="E13" s="1" t="s">
        <v>58</v>
      </c>
      <c r="F13" s="1">
        <v>145366886</v>
      </c>
      <c r="G13" s="1" t="s">
        <v>14</v>
      </c>
      <c r="H13" s="1" t="s">
        <v>15</v>
      </c>
      <c r="I13" s="1">
        <v>0.83899999999999997</v>
      </c>
      <c r="J13" s="1" t="s">
        <v>36</v>
      </c>
      <c r="K13" s="1" t="s">
        <v>60</v>
      </c>
      <c r="L13" s="1" t="s">
        <v>19</v>
      </c>
      <c r="M13" s="1" t="s">
        <v>583</v>
      </c>
      <c r="N13" s="1" t="s">
        <v>442</v>
      </c>
      <c r="O13" s="2">
        <v>0.67062310022572225</v>
      </c>
      <c r="P13" s="2">
        <v>0.77620601293460367</v>
      </c>
      <c r="Q13" s="2">
        <v>0.98939061083321356</v>
      </c>
      <c r="R13" s="2">
        <v>0.74657197039226209</v>
      </c>
      <c r="S13" s="2">
        <v>1.0786907977575233</v>
      </c>
      <c r="T13" s="2">
        <v>0.98584536299187087</v>
      </c>
      <c r="U13" s="2">
        <f t="shared" si="0"/>
        <v>0.87455464252253245</v>
      </c>
      <c r="V13" s="3">
        <f t="shared" si="1"/>
        <v>0.16424651302572296</v>
      </c>
      <c r="W13" s="1" t="s">
        <v>561</v>
      </c>
    </row>
    <row r="14" spans="1:23" x14ac:dyDescent="0.3">
      <c r="A14" s="1">
        <v>13</v>
      </c>
      <c r="B14" s="1" t="s">
        <v>63</v>
      </c>
      <c r="C14" s="1">
        <v>301</v>
      </c>
      <c r="D14" s="1">
        <v>1</v>
      </c>
      <c r="E14" s="1" t="s">
        <v>64</v>
      </c>
      <c r="F14" s="1">
        <v>191151202</v>
      </c>
      <c r="G14" s="1" t="s">
        <v>24</v>
      </c>
      <c r="H14" s="1" t="s">
        <v>15</v>
      </c>
      <c r="I14" s="1">
        <v>0.58099999999999996</v>
      </c>
      <c r="J14" s="1" t="s">
        <v>16</v>
      </c>
      <c r="K14" s="1" t="s">
        <v>66</v>
      </c>
      <c r="L14" s="1" t="s">
        <v>67</v>
      </c>
      <c r="M14" s="1" t="s">
        <v>584</v>
      </c>
      <c r="N14" s="1" t="s">
        <v>443</v>
      </c>
      <c r="O14" s="2">
        <v>1.0354208452748845</v>
      </c>
      <c r="P14" s="2">
        <v>1.1167919613361903</v>
      </c>
      <c r="Q14" s="2">
        <v>1.2199190527668229</v>
      </c>
      <c r="R14" s="2">
        <v>1.2657334594614726</v>
      </c>
      <c r="S14" s="2">
        <v>1.0506689239526379</v>
      </c>
      <c r="T14" s="2">
        <v>1.1567110305599857</v>
      </c>
      <c r="U14" s="2">
        <f t="shared" si="0"/>
        <v>1.1408742122253324</v>
      </c>
      <c r="V14" s="3">
        <f t="shared" si="1"/>
        <v>9.1570830173154358E-2</v>
      </c>
      <c r="W14" s="1">
        <f>_xlfn.T.TEST(O14:T14,O15:T15,2,3)</f>
        <v>0.14579472030651558</v>
      </c>
    </row>
    <row r="15" spans="1:23" x14ac:dyDescent="0.3">
      <c r="A15" s="1">
        <v>14</v>
      </c>
      <c r="B15" s="1" t="s">
        <v>68</v>
      </c>
      <c r="C15" s="1">
        <v>301</v>
      </c>
      <c r="D15" s="1">
        <v>1</v>
      </c>
      <c r="E15" s="1" t="s">
        <v>64</v>
      </c>
      <c r="F15" s="1">
        <v>191151202</v>
      </c>
      <c r="G15" s="1" t="s">
        <v>24</v>
      </c>
      <c r="H15" s="1" t="s">
        <v>15</v>
      </c>
      <c r="I15" s="1">
        <v>0.58099999999999996</v>
      </c>
      <c r="J15" s="1" t="s">
        <v>16</v>
      </c>
      <c r="K15" s="1" t="s">
        <v>66</v>
      </c>
      <c r="L15" s="1" t="s">
        <v>67</v>
      </c>
      <c r="M15" s="1" t="s">
        <v>584</v>
      </c>
      <c r="N15" s="1" t="s">
        <v>444</v>
      </c>
      <c r="O15" s="2">
        <v>0.9080755289631508</v>
      </c>
      <c r="P15" s="2">
        <v>1.189419648572924</v>
      </c>
      <c r="Q15" s="2">
        <v>0.96771369877113966</v>
      </c>
      <c r="R15" s="2">
        <v>2.3501999815078252</v>
      </c>
      <c r="S15" s="2">
        <v>2.1993340499814265</v>
      </c>
      <c r="T15" s="2">
        <v>1.9799929862656753</v>
      </c>
      <c r="U15" s="2">
        <f t="shared" si="0"/>
        <v>1.5991226490103569</v>
      </c>
      <c r="V15" s="3">
        <f t="shared" si="1"/>
        <v>0.6501558324253206</v>
      </c>
      <c r="W15" s="1" t="s">
        <v>561</v>
      </c>
    </row>
    <row r="16" spans="1:23" x14ac:dyDescent="0.3">
      <c r="A16" s="1">
        <v>15</v>
      </c>
      <c r="B16" s="1" t="s">
        <v>70</v>
      </c>
      <c r="C16" s="1">
        <v>301</v>
      </c>
      <c r="D16" s="1">
        <v>1</v>
      </c>
      <c r="E16" s="1" t="s">
        <v>71</v>
      </c>
      <c r="F16" s="1">
        <v>82899017</v>
      </c>
      <c r="G16" s="1" t="s">
        <v>72</v>
      </c>
      <c r="H16" s="1" t="s">
        <v>14</v>
      </c>
      <c r="I16" s="1">
        <v>5.3999999999999999E-2</v>
      </c>
      <c r="J16" s="1" t="s">
        <v>16</v>
      </c>
      <c r="K16" s="1" t="s">
        <v>74</v>
      </c>
      <c r="L16" s="1" t="s">
        <v>75</v>
      </c>
      <c r="M16" s="1" t="s">
        <v>585</v>
      </c>
      <c r="N16" s="1" t="s">
        <v>445</v>
      </c>
      <c r="O16" s="2">
        <v>0.83947957627200309</v>
      </c>
      <c r="P16" s="2">
        <v>0.79179723465385965</v>
      </c>
      <c r="Q16" s="2">
        <v>0.80834034402207611</v>
      </c>
      <c r="R16" s="2">
        <v>2.1727678812231326</v>
      </c>
      <c r="S16" s="2">
        <v>2.5408195235449362</v>
      </c>
      <c r="T16" s="2">
        <v>1.9763313835510898</v>
      </c>
      <c r="U16" s="2">
        <f t="shared" si="0"/>
        <v>1.5215893238778495</v>
      </c>
      <c r="V16" s="3">
        <f t="shared" si="1"/>
        <v>0.79702551563092183</v>
      </c>
      <c r="W16" s="1">
        <f>_xlfn.T.TEST(O16:T16,O17:T17,2,3)</f>
        <v>0.12114682726206207</v>
      </c>
    </row>
    <row r="17" spans="1:23" x14ac:dyDescent="0.3">
      <c r="A17" s="1">
        <v>16</v>
      </c>
      <c r="B17" s="1" t="s">
        <v>76</v>
      </c>
      <c r="C17" s="1">
        <v>301</v>
      </c>
      <c r="D17" s="1">
        <v>1</v>
      </c>
      <c r="E17" s="1" t="s">
        <v>71</v>
      </c>
      <c r="F17" s="1">
        <v>82899017</v>
      </c>
      <c r="G17" s="1" t="s">
        <v>72</v>
      </c>
      <c r="H17" s="1" t="s">
        <v>14</v>
      </c>
      <c r="I17" s="1">
        <v>5.3999999999999999E-2</v>
      </c>
      <c r="J17" s="1" t="s">
        <v>16</v>
      </c>
      <c r="K17" s="1" t="s">
        <v>74</v>
      </c>
      <c r="L17" s="1" t="s">
        <v>75</v>
      </c>
      <c r="M17" s="1" t="s">
        <v>585</v>
      </c>
      <c r="N17" s="1" t="s">
        <v>446</v>
      </c>
      <c r="O17" s="2">
        <v>0.84378628424122593</v>
      </c>
      <c r="P17" s="2">
        <v>0.69864461881222917</v>
      </c>
      <c r="Q17" s="2">
        <v>0.73427086758609772</v>
      </c>
      <c r="R17" s="2">
        <v>0.99407680840274038</v>
      </c>
      <c r="S17" s="2">
        <v>0.90949789763256239</v>
      </c>
      <c r="T17" s="2">
        <v>1.2733410256436553</v>
      </c>
      <c r="U17" s="2">
        <f t="shared" si="0"/>
        <v>0.90893625038641845</v>
      </c>
      <c r="V17" s="3">
        <f t="shared" si="1"/>
        <v>0.20929173640871462</v>
      </c>
      <c r="W17" s="1" t="s">
        <v>561</v>
      </c>
    </row>
    <row r="18" spans="1:23" x14ac:dyDescent="0.3">
      <c r="A18" s="1">
        <v>17</v>
      </c>
      <c r="B18" s="1" t="s">
        <v>78</v>
      </c>
      <c r="C18" s="1">
        <v>301</v>
      </c>
      <c r="D18" s="1">
        <v>1</v>
      </c>
      <c r="E18" s="1" t="s">
        <v>79</v>
      </c>
      <c r="F18" s="1">
        <v>82900171</v>
      </c>
      <c r="G18" s="1" t="s">
        <v>72</v>
      </c>
      <c r="H18" s="1" t="s">
        <v>14</v>
      </c>
      <c r="I18" s="1">
        <v>0.159</v>
      </c>
      <c r="J18" s="1" t="s">
        <v>16</v>
      </c>
      <c r="K18" s="1" t="s">
        <v>81</v>
      </c>
      <c r="L18" s="1" t="s">
        <v>54</v>
      </c>
      <c r="M18" s="1" t="s">
        <v>585</v>
      </c>
      <c r="N18" s="1" t="s">
        <v>447</v>
      </c>
      <c r="O18" s="2">
        <v>0.32696568160412326</v>
      </c>
      <c r="P18" s="2">
        <v>0.31004166797497051</v>
      </c>
      <c r="Q18" s="2">
        <v>0.30481848357076879</v>
      </c>
      <c r="R18" s="2">
        <v>0.4624384799422861</v>
      </c>
      <c r="S18" s="2">
        <v>0.28080020378932846</v>
      </c>
      <c r="T18" s="2">
        <v>0.28175648217905908</v>
      </c>
      <c r="U18" s="2">
        <f t="shared" si="0"/>
        <v>0.32780349984342266</v>
      </c>
      <c r="V18" s="3">
        <f t="shared" si="1"/>
        <v>6.8265234381392051E-2</v>
      </c>
      <c r="W18" s="1">
        <f>_xlfn.T.TEST(O18:T18,O19:T19,2,3)</f>
        <v>0.86548886225494004</v>
      </c>
    </row>
    <row r="19" spans="1:23" x14ac:dyDescent="0.3">
      <c r="A19" s="1">
        <v>18</v>
      </c>
      <c r="B19" s="1" t="s">
        <v>82</v>
      </c>
      <c r="C19" s="1">
        <v>301</v>
      </c>
      <c r="D19" s="1">
        <v>1</v>
      </c>
      <c r="E19" s="1" t="s">
        <v>79</v>
      </c>
      <c r="F19" s="1">
        <v>82900171</v>
      </c>
      <c r="G19" s="1" t="s">
        <v>72</v>
      </c>
      <c r="H19" s="1" t="s">
        <v>14</v>
      </c>
      <c r="I19" s="1">
        <v>0.159</v>
      </c>
      <c r="J19" s="1" t="s">
        <v>16</v>
      </c>
      <c r="K19" s="1" t="s">
        <v>81</v>
      </c>
      <c r="L19" s="1" t="s">
        <v>54</v>
      </c>
      <c r="M19" s="1" t="s">
        <v>585</v>
      </c>
      <c r="N19" s="1" t="s">
        <v>448</v>
      </c>
      <c r="O19" s="2">
        <v>0.31955052167263887</v>
      </c>
      <c r="P19" s="2">
        <v>0.24010889772972011</v>
      </c>
      <c r="Q19" s="2">
        <v>0.38368421820892007</v>
      </c>
      <c r="R19" s="2">
        <v>0.41382382974231724</v>
      </c>
      <c r="S19" s="2">
        <v>0.31835624370366239</v>
      </c>
      <c r="T19" s="2">
        <v>0.33006339743657903</v>
      </c>
      <c r="U19" s="2">
        <f t="shared" si="0"/>
        <v>0.33426451808230628</v>
      </c>
      <c r="V19" s="3">
        <f t="shared" si="1"/>
        <v>6.0207135748396867E-2</v>
      </c>
      <c r="W19" s="1" t="s">
        <v>561</v>
      </c>
    </row>
    <row r="20" spans="1:23" x14ac:dyDescent="0.3">
      <c r="A20" s="1">
        <v>19</v>
      </c>
      <c r="B20" s="1" t="s">
        <v>84</v>
      </c>
      <c r="C20" s="1">
        <v>301</v>
      </c>
      <c r="D20" s="1">
        <v>1</v>
      </c>
      <c r="E20" s="1" t="s">
        <v>85</v>
      </c>
      <c r="F20" s="1">
        <v>82901181</v>
      </c>
      <c r="G20" s="1" t="s">
        <v>14</v>
      </c>
      <c r="H20" s="1" t="s">
        <v>72</v>
      </c>
      <c r="I20" s="1">
        <v>0.14599999999999999</v>
      </c>
      <c r="J20" s="1" t="s">
        <v>16</v>
      </c>
      <c r="K20" s="1" t="s">
        <v>81</v>
      </c>
      <c r="L20" s="1" t="s">
        <v>54</v>
      </c>
      <c r="M20" s="1" t="s">
        <v>585</v>
      </c>
      <c r="N20" s="1" t="s">
        <v>449</v>
      </c>
      <c r="O20" s="2">
        <v>1.063014658469684</v>
      </c>
      <c r="P20" s="2">
        <v>0.93172185718908207</v>
      </c>
      <c r="Q20" s="2">
        <v>1.0861336249867894</v>
      </c>
      <c r="R20" s="2">
        <v>0.85389169113614982</v>
      </c>
      <c r="S20" s="2">
        <v>0.8309900023800797</v>
      </c>
      <c r="T20" s="2">
        <v>0.76905907793419781</v>
      </c>
      <c r="U20" s="2">
        <f t="shared" si="0"/>
        <v>0.92246848534933068</v>
      </c>
      <c r="V20" s="3">
        <f t="shared" si="1"/>
        <v>0.12901989415288095</v>
      </c>
      <c r="W20" s="1">
        <f>_xlfn.T.TEST(O20:T20,O21:T21,2,3)</f>
        <v>0.31399632796619004</v>
      </c>
    </row>
    <row r="21" spans="1:23" x14ac:dyDescent="0.3">
      <c r="A21" s="1">
        <v>20</v>
      </c>
      <c r="B21" s="1" t="s">
        <v>87</v>
      </c>
      <c r="C21" s="1">
        <v>301</v>
      </c>
      <c r="D21" s="1">
        <v>1</v>
      </c>
      <c r="E21" s="1" t="s">
        <v>85</v>
      </c>
      <c r="F21" s="1">
        <v>82901181</v>
      </c>
      <c r="G21" s="1" t="s">
        <v>14</v>
      </c>
      <c r="H21" s="1" t="s">
        <v>72</v>
      </c>
      <c r="I21" s="1">
        <v>0.14599999999999999</v>
      </c>
      <c r="J21" s="1" t="s">
        <v>16</v>
      </c>
      <c r="K21" s="1" t="s">
        <v>81</v>
      </c>
      <c r="L21" s="1" t="s">
        <v>54</v>
      </c>
      <c r="M21" s="1" t="s">
        <v>585</v>
      </c>
      <c r="N21" s="1" t="s">
        <v>450</v>
      </c>
      <c r="O21" s="2">
        <v>0.82824554004692708</v>
      </c>
      <c r="P21" s="2">
        <v>1.1918860094253181</v>
      </c>
      <c r="Q21" s="2">
        <v>1.050745043786522</v>
      </c>
      <c r="R21" s="2">
        <v>0.47370209817286801</v>
      </c>
      <c r="S21" s="2">
        <v>0.56555383510537116</v>
      </c>
      <c r="T21" s="2">
        <v>0.57448977863518047</v>
      </c>
      <c r="U21" s="2">
        <f t="shared" si="0"/>
        <v>0.78077038419536438</v>
      </c>
      <c r="V21" s="3">
        <f t="shared" si="1"/>
        <v>0.29234125540743783</v>
      </c>
      <c r="W21" s="1" t="s">
        <v>561</v>
      </c>
    </row>
    <row r="22" spans="1:23" x14ac:dyDescent="0.3">
      <c r="A22" s="1">
        <v>21</v>
      </c>
      <c r="B22" s="1" t="s">
        <v>89</v>
      </c>
      <c r="C22" s="1">
        <v>301</v>
      </c>
      <c r="D22" s="1">
        <v>1</v>
      </c>
      <c r="E22" s="1" t="s">
        <v>90</v>
      </c>
      <c r="F22" s="1">
        <v>82989881</v>
      </c>
      <c r="G22" s="1" t="s">
        <v>72</v>
      </c>
      <c r="H22" s="1" t="s">
        <v>24</v>
      </c>
      <c r="I22" s="1">
        <v>5.0999999999999997E-2</v>
      </c>
      <c r="J22" s="1" t="s">
        <v>16</v>
      </c>
      <c r="K22" s="1" t="s">
        <v>92</v>
      </c>
      <c r="L22" s="1" t="s">
        <v>54</v>
      </c>
      <c r="M22" s="1" t="s">
        <v>585</v>
      </c>
      <c r="N22" s="1" t="s">
        <v>451</v>
      </c>
      <c r="O22" s="2">
        <v>1.3731095004343259</v>
      </c>
      <c r="P22" s="2">
        <v>1.3773279628012516</v>
      </c>
      <c r="Q22" s="2">
        <v>1.1586106468199371</v>
      </c>
      <c r="R22" s="2">
        <v>1.0976385517076712</v>
      </c>
      <c r="S22" s="2">
        <v>1.0802115682718105</v>
      </c>
      <c r="T22" s="2">
        <v>1.2874279416435908</v>
      </c>
      <c r="U22" s="2">
        <f t="shared" si="0"/>
        <v>1.2290543619464311</v>
      </c>
      <c r="V22" s="3">
        <f t="shared" si="1"/>
        <v>0.13455930131527874</v>
      </c>
      <c r="W22" s="1">
        <f>_xlfn.T.TEST(O22:T22,O23:T23,2,3)</f>
        <v>4.9932691541939485E-5</v>
      </c>
    </row>
    <row r="23" spans="1:23" x14ac:dyDescent="0.3">
      <c r="A23" s="1">
        <v>22</v>
      </c>
      <c r="B23" s="1" t="s">
        <v>93</v>
      </c>
      <c r="C23" s="1">
        <v>301</v>
      </c>
      <c r="D23" s="1">
        <v>1</v>
      </c>
      <c r="E23" s="1" t="s">
        <v>90</v>
      </c>
      <c r="F23" s="1">
        <v>82989881</v>
      </c>
      <c r="G23" s="1" t="s">
        <v>72</v>
      </c>
      <c r="H23" s="1" t="s">
        <v>24</v>
      </c>
      <c r="I23" s="1">
        <v>5.0999999999999997E-2</v>
      </c>
      <c r="J23" s="1" t="s">
        <v>16</v>
      </c>
      <c r="K23" s="1" t="s">
        <v>92</v>
      </c>
      <c r="L23" s="1" t="s">
        <v>54</v>
      </c>
      <c r="M23" s="1" t="s">
        <v>585</v>
      </c>
      <c r="N23" s="1" t="s">
        <v>452</v>
      </c>
      <c r="O23" s="2">
        <v>0.71774090505976329</v>
      </c>
      <c r="P23" s="2">
        <v>0.8388129417060034</v>
      </c>
      <c r="Q23" s="2">
        <v>0.75322622965693453</v>
      </c>
      <c r="R23" s="2">
        <v>0.67929714371417149</v>
      </c>
      <c r="S23" s="2">
        <v>0.61761863005178042</v>
      </c>
      <c r="T23" s="2">
        <v>0.78666078218269164</v>
      </c>
      <c r="U23" s="2">
        <f t="shared" si="0"/>
        <v>0.73222610539522404</v>
      </c>
      <c r="V23" s="3">
        <f t="shared" si="1"/>
        <v>7.8627046680763771E-2</v>
      </c>
      <c r="W23" s="1" t="s">
        <v>561</v>
      </c>
    </row>
    <row r="24" spans="1:23" x14ac:dyDescent="0.3">
      <c r="A24" s="1">
        <v>23</v>
      </c>
      <c r="B24" s="1" t="s">
        <v>95</v>
      </c>
      <c r="C24" s="1">
        <v>301</v>
      </c>
      <c r="D24" s="1">
        <v>1</v>
      </c>
      <c r="E24" s="1" t="s">
        <v>96</v>
      </c>
      <c r="F24" s="1">
        <v>83010534</v>
      </c>
      <c r="G24" s="1" t="s">
        <v>72</v>
      </c>
      <c r="H24" s="1" t="s">
        <v>14</v>
      </c>
      <c r="I24" s="1">
        <v>0.28499999999999998</v>
      </c>
      <c r="J24" s="1" t="s">
        <v>16</v>
      </c>
      <c r="K24" s="1" t="s">
        <v>81</v>
      </c>
      <c r="L24" s="1" t="s">
        <v>54</v>
      </c>
      <c r="M24" s="1" t="s">
        <v>585</v>
      </c>
      <c r="N24" s="1" t="s">
        <v>453</v>
      </c>
      <c r="O24" s="2">
        <v>0.3486254070432096</v>
      </c>
      <c r="P24" s="2">
        <v>0.42379321932346209</v>
      </c>
      <c r="Q24" s="2">
        <v>0.39885531590392881</v>
      </c>
      <c r="R24" s="2">
        <v>0.37534833870550194</v>
      </c>
      <c r="S24" s="2">
        <v>0.41635744502645383</v>
      </c>
      <c r="T24" s="2">
        <v>0.42513126091781595</v>
      </c>
      <c r="U24" s="2">
        <f t="shared" si="0"/>
        <v>0.39801849782006204</v>
      </c>
      <c r="V24" s="3">
        <f t="shared" si="1"/>
        <v>3.062701086063388E-2</v>
      </c>
      <c r="W24" s="1">
        <f>_xlfn.T.TEST(O24:T24,O25:T25,2,3)</f>
        <v>0.11811959378002762</v>
      </c>
    </row>
    <row r="25" spans="1:23" x14ac:dyDescent="0.3">
      <c r="A25" s="1">
        <v>24</v>
      </c>
      <c r="B25" s="1" t="s">
        <v>98</v>
      </c>
      <c r="C25" s="1">
        <v>301</v>
      </c>
      <c r="D25" s="1">
        <v>1</v>
      </c>
      <c r="E25" s="1" t="s">
        <v>96</v>
      </c>
      <c r="F25" s="1">
        <v>83010534</v>
      </c>
      <c r="G25" s="1" t="s">
        <v>72</v>
      </c>
      <c r="H25" s="1" t="s">
        <v>14</v>
      </c>
      <c r="I25" s="1">
        <v>0.28499999999999998</v>
      </c>
      <c r="J25" s="1" t="s">
        <v>16</v>
      </c>
      <c r="K25" s="1" t="s">
        <v>81</v>
      </c>
      <c r="L25" s="1" t="s">
        <v>54</v>
      </c>
      <c r="M25" s="1" t="s">
        <v>585</v>
      </c>
      <c r="N25" s="1" t="s">
        <v>454</v>
      </c>
      <c r="O25" s="2">
        <v>0.4685754924993949</v>
      </c>
      <c r="P25" s="2">
        <v>0.48509664098660438</v>
      </c>
      <c r="Q25" s="2">
        <v>0.6189134212302343</v>
      </c>
      <c r="R25" s="2">
        <v>0.33990268570704618</v>
      </c>
      <c r="S25" s="2">
        <v>0.43497875879740783</v>
      </c>
      <c r="T25" s="2">
        <v>0.4639608792573367</v>
      </c>
      <c r="U25" s="2">
        <f t="shared" si="0"/>
        <v>0.4685713130796707</v>
      </c>
      <c r="V25" s="3">
        <f t="shared" si="1"/>
        <v>9.0090140899265217E-2</v>
      </c>
      <c r="W25" s="1" t="s">
        <v>561</v>
      </c>
    </row>
    <row r="26" spans="1:23" x14ac:dyDescent="0.3">
      <c r="A26" s="1">
        <v>25</v>
      </c>
      <c r="B26" s="1" t="s">
        <v>100</v>
      </c>
      <c r="C26" s="1">
        <v>301</v>
      </c>
      <c r="D26" s="1">
        <v>1</v>
      </c>
      <c r="E26" s="1" t="s">
        <v>101</v>
      </c>
      <c r="F26" s="1">
        <v>132454724</v>
      </c>
      <c r="G26" s="1" t="s">
        <v>15</v>
      </c>
      <c r="H26" s="1" t="s">
        <v>24</v>
      </c>
      <c r="I26" s="1">
        <v>0.14199999999999999</v>
      </c>
      <c r="J26" s="1" t="s">
        <v>44</v>
      </c>
      <c r="K26" s="1" t="s">
        <v>103</v>
      </c>
      <c r="L26" s="1" t="s">
        <v>39</v>
      </c>
      <c r="M26" s="1" t="s">
        <v>586</v>
      </c>
      <c r="N26" s="1" t="s">
        <v>455</v>
      </c>
      <c r="O26" s="2">
        <v>1.042099617267199</v>
      </c>
      <c r="P26" s="2">
        <v>1.024678774257936</v>
      </c>
      <c r="Q26" s="2">
        <v>1.0176435903499694</v>
      </c>
      <c r="R26" s="2">
        <v>0.76685925219639972</v>
      </c>
      <c r="S26" s="2">
        <v>0.78095357429190582</v>
      </c>
      <c r="T26" s="2">
        <v>0.87873140696564578</v>
      </c>
      <c r="U26" s="2">
        <f t="shared" si="0"/>
        <v>0.91849436922150929</v>
      </c>
      <c r="V26" s="3">
        <f t="shared" si="1"/>
        <v>0.12639282053993753</v>
      </c>
      <c r="W26" s="1">
        <f>_xlfn.T.TEST(O26:T26,O27:T27,2,3)</f>
        <v>2.2277734279460822E-4</v>
      </c>
    </row>
    <row r="27" spans="1:23" x14ac:dyDescent="0.3">
      <c r="A27" s="1">
        <v>26</v>
      </c>
      <c r="B27" s="1" t="s">
        <v>104</v>
      </c>
      <c r="C27" s="1">
        <v>301</v>
      </c>
      <c r="D27" s="1">
        <v>1</v>
      </c>
      <c r="E27" s="1" t="s">
        <v>101</v>
      </c>
      <c r="F27" s="1">
        <v>132454724</v>
      </c>
      <c r="G27" s="1" t="s">
        <v>15</v>
      </c>
      <c r="H27" s="1" t="s">
        <v>24</v>
      </c>
      <c r="I27" s="1">
        <v>0.14199999999999999</v>
      </c>
      <c r="J27" s="1" t="s">
        <v>44</v>
      </c>
      <c r="K27" s="1" t="s">
        <v>103</v>
      </c>
      <c r="L27" s="1" t="s">
        <v>39</v>
      </c>
      <c r="M27" s="1" t="s">
        <v>586</v>
      </c>
      <c r="N27" s="1" t="s">
        <v>456</v>
      </c>
      <c r="O27" s="2">
        <v>0.61572137900928225</v>
      </c>
      <c r="P27" s="2">
        <v>0.60403298609597067</v>
      </c>
      <c r="Q27" s="2">
        <v>0.645109614107644</v>
      </c>
      <c r="R27" s="2">
        <v>0.36175745104204393</v>
      </c>
      <c r="S27" s="2">
        <v>0.42650768416706419</v>
      </c>
      <c r="T27" s="2">
        <v>0.39520028681461039</v>
      </c>
      <c r="U27" s="2">
        <f t="shared" si="0"/>
        <v>0.50805490020610256</v>
      </c>
      <c r="V27" s="3">
        <f t="shared" si="1"/>
        <v>0.1267887329938768</v>
      </c>
      <c r="W27" s="1" t="s">
        <v>561</v>
      </c>
    </row>
    <row r="28" spans="1:23" ht="15.6" x14ac:dyDescent="0.3">
      <c r="A28" s="1">
        <v>27</v>
      </c>
      <c r="B28" s="1" t="s">
        <v>106</v>
      </c>
      <c r="C28" s="1">
        <v>301</v>
      </c>
      <c r="D28" s="1">
        <v>1</v>
      </c>
      <c r="E28" s="1" t="s">
        <v>107</v>
      </c>
      <c r="F28" s="1">
        <v>132455672</v>
      </c>
      <c r="G28" s="1" t="s">
        <v>24</v>
      </c>
      <c r="H28" s="1" t="s">
        <v>15</v>
      </c>
      <c r="I28" s="1">
        <v>0.129</v>
      </c>
      <c r="J28" s="1" t="s">
        <v>44</v>
      </c>
      <c r="K28" s="1" t="s">
        <v>103</v>
      </c>
      <c r="L28" s="1" t="s">
        <v>39</v>
      </c>
      <c r="M28" s="1" t="s">
        <v>586</v>
      </c>
      <c r="N28" s="1" t="s">
        <v>457</v>
      </c>
      <c r="O28" s="4">
        <v>4.373202288046369</v>
      </c>
      <c r="P28" s="4">
        <v>4.2882419963365859</v>
      </c>
      <c r="Q28" s="4">
        <v>4.6620609435213423</v>
      </c>
      <c r="R28" s="4">
        <v>2.3616705065077315</v>
      </c>
      <c r="S28" s="4">
        <v>2.4345865770345569</v>
      </c>
      <c r="T28" s="4">
        <v>2.2963950969094693</v>
      </c>
      <c r="U28" s="2">
        <f t="shared" si="0"/>
        <v>3.4026929013926761</v>
      </c>
      <c r="V28" s="3">
        <f t="shared" si="1"/>
        <v>1.1451590150535798</v>
      </c>
      <c r="W28" s="1">
        <f>_xlfn.T.TEST(O28:T28,O29:T29,2,3)</f>
        <v>0.90394996252661297</v>
      </c>
    </row>
    <row r="29" spans="1:23" ht="15.6" x14ac:dyDescent="0.3">
      <c r="A29" s="1">
        <v>28</v>
      </c>
      <c r="B29" s="1" t="s">
        <v>109</v>
      </c>
      <c r="C29" s="1">
        <v>301</v>
      </c>
      <c r="D29" s="1">
        <v>1</v>
      </c>
      <c r="E29" s="1" t="s">
        <v>107</v>
      </c>
      <c r="F29" s="1">
        <v>132455672</v>
      </c>
      <c r="G29" s="1" t="s">
        <v>24</v>
      </c>
      <c r="H29" s="1" t="s">
        <v>15</v>
      </c>
      <c r="I29" s="1">
        <v>0.129</v>
      </c>
      <c r="J29" s="1" t="s">
        <v>44</v>
      </c>
      <c r="K29" s="1" t="s">
        <v>103</v>
      </c>
      <c r="L29" s="1" t="s">
        <v>39</v>
      </c>
      <c r="M29" s="1" t="s">
        <v>586</v>
      </c>
      <c r="N29" s="1" t="s">
        <v>458</v>
      </c>
      <c r="O29" s="4">
        <v>4.6990226730930624</v>
      </c>
      <c r="P29" s="4">
        <v>3.5788427508392675</v>
      </c>
      <c r="Q29" s="4">
        <v>4.2969329613162328</v>
      </c>
      <c r="R29" s="4">
        <v>2.2605012210883908</v>
      </c>
      <c r="S29" s="4">
        <v>2.6858154808011365</v>
      </c>
      <c r="T29" s="4">
        <v>2.4291891115840651</v>
      </c>
      <c r="U29" s="2">
        <f t="shared" si="0"/>
        <v>3.3250506997870257</v>
      </c>
      <c r="V29" s="3">
        <f t="shared" si="1"/>
        <v>1.0238378545345863</v>
      </c>
      <c r="W29" s="1" t="s">
        <v>561</v>
      </c>
    </row>
    <row r="30" spans="1:23" ht="15.6" x14ac:dyDescent="0.3">
      <c r="A30" s="1">
        <v>29</v>
      </c>
      <c r="B30" s="1" t="s">
        <v>111</v>
      </c>
      <c r="C30" s="1">
        <v>476</v>
      </c>
      <c r="D30" s="1">
        <v>2</v>
      </c>
      <c r="E30" s="1" t="s">
        <v>112</v>
      </c>
      <c r="F30" s="1" t="s">
        <v>113</v>
      </c>
      <c r="G30" s="1" t="s">
        <v>114</v>
      </c>
      <c r="H30" s="1" t="s">
        <v>115</v>
      </c>
      <c r="I30" s="1" t="s">
        <v>568</v>
      </c>
      <c r="J30" s="1" t="s">
        <v>44</v>
      </c>
      <c r="K30" s="1" t="s">
        <v>117</v>
      </c>
      <c r="L30" s="1" t="s">
        <v>118</v>
      </c>
      <c r="M30" s="1" t="s">
        <v>586</v>
      </c>
      <c r="N30" s="1" t="s">
        <v>459</v>
      </c>
      <c r="O30" s="4">
        <v>2.909490207015446</v>
      </c>
      <c r="P30" s="4">
        <v>2.7163939031086879</v>
      </c>
      <c r="Q30" s="4">
        <v>2.8884255595692809</v>
      </c>
      <c r="R30" s="4">
        <v>2.7595869657381864</v>
      </c>
      <c r="S30" s="4">
        <v>2.2640808161561718</v>
      </c>
      <c r="T30" s="4">
        <v>2.7003807169914458</v>
      </c>
      <c r="U30" s="2">
        <f t="shared" si="0"/>
        <v>2.7063930280965365</v>
      </c>
      <c r="V30" s="3">
        <f t="shared" si="1"/>
        <v>0.23366221766405887</v>
      </c>
      <c r="W30" s="1">
        <f>_xlfn.T.TEST(O30:T30,O31:T31,2,3)</f>
        <v>0.48130545223608046</v>
      </c>
    </row>
    <row r="31" spans="1:23" ht="15.6" x14ac:dyDescent="0.3">
      <c r="A31" s="1">
        <v>30</v>
      </c>
      <c r="B31" s="1" t="s">
        <v>119</v>
      </c>
      <c r="C31" s="1">
        <v>476</v>
      </c>
      <c r="D31" s="1">
        <v>2</v>
      </c>
      <c r="E31" s="1" t="s">
        <v>112</v>
      </c>
      <c r="F31" s="1" t="s">
        <v>113</v>
      </c>
      <c r="G31" s="1" t="s">
        <v>114</v>
      </c>
      <c r="H31" s="1" t="s">
        <v>115</v>
      </c>
      <c r="I31" s="1" t="s">
        <v>568</v>
      </c>
      <c r="J31" s="1" t="s">
        <v>44</v>
      </c>
      <c r="K31" s="1" t="s">
        <v>117</v>
      </c>
      <c r="L31" s="1" t="s">
        <v>118</v>
      </c>
      <c r="M31" s="1" t="s">
        <v>586</v>
      </c>
      <c r="N31" s="1" t="s">
        <v>460</v>
      </c>
      <c r="O31" s="4">
        <v>4.3262879475890728</v>
      </c>
      <c r="P31" s="4">
        <v>3.4634022264635775</v>
      </c>
      <c r="Q31" s="4">
        <v>5.5956328488782283</v>
      </c>
      <c r="R31" s="4">
        <v>2.3239653988719016</v>
      </c>
      <c r="S31" s="4">
        <v>1.7353772916401606</v>
      </c>
      <c r="T31" s="4">
        <v>1.7224580347050187</v>
      </c>
      <c r="U31" s="2">
        <f t="shared" si="0"/>
        <v>3.1945206246913265</v>
      </c>
      <c r="V31" s="3">
        <f t="shared" si="1"/>
        <v>1.5602864120741986</v>
      </c>
      <c r="W31" s="1" t="s">
        <v>561</v>
      </c>
    </row>
    <row r="32" spans="1:23" ht="15.6" x14ac:dyDescent="0.3">
      <c r="A32" s="1">
        <v>31</v>
      </c>
      <c r="B32" s="1" t="s">
        <v>121</v>
      </c>
      <c r="C32" s="1">
        <v>301</v>
      </c>
      <c r="D32" s="1">
        <v>1</v>
      </c>
      <c r="E32" s="1" t="s">
        <v>122</v>
      </c>
      <c r="F32" s="1">
        <v>132464907</v>
      </c>
      <c r="G32" s="1" t="s">
        <v>14</v>
      </c>
      <c r="H32" s="1" t="s">
        <v>15</v>
      </c>
      <c r="I32" s="1">
        <v>0.24299999999999999</v>
      </c>
      <c r="J32" s="1" t="s">
        <v>44</v>
      </c>
      <c r="K32" s="1" t="s">
        <v>117</v>
      </c>
      <c r="L32" s="1" t="s">
        <v>118</v>
      </c>
      <c r="M32" s="1" t="s">
        <v>586</v>
      </c>
      <c r="N32" s="1" t="s">
        <v>461</v>
      </c>
      <c r="O32" s="4">
        <v>0.79747736563585192</v>
      </c>
      <c r="P32" s="4">
        <v>0.78338859884295198</v>
      </c>
      <c r="Q32" s="4">
        <v>0.79294897657470365</v>
      </c>
      <c r="R32" s="4">
        <v>0.62023669867879805</v>
      </c>
      <c r="S32" s="4">
        <v>0.71230308363893213</v>
      </c>
      <c r="T32" s="4">
        <v>0.56385154425345285</v>
      </c>
      <c r="U32" s="2">
        <f t="shared" si="0"/>
        <v>0.7117010446041151</v>
      </c>
      <c r="V32" s="3">
        <f t="shared" si="1"/>
        <v>9.9321168853844469E-2</v>
      </c>
      <c r="W32" s="1">
        <f>_xlfn.T.TEST(O32:T32,O33:T33,2,3)</f>
        <v>9.1211461730799651E-2</v>
      </c>
    </row>
    <row r="33" spans="1:28" ht="15.6" x14ac:dyDescent="0.3">
      <c r="A33" s="1">
        <v>32</v>
      </c>
      <c r="B33" s="1" t="s">
        <v>124</v>
      </c>
      <c r="C33" s="1">
        <v>301</v>
      </c>
      <c r="D33" s="1">
        <v>1</v>
      </c>
      <c r="E33" s="1" t="s">
        <v>122</v>
      </c>
      <c r="F33" s="1">
        <v>132464907</v>
      </c>
      <c r="G33" s="1" t="s">
        <v>14</v>
      </c>
      <c r="H33" s="1" t="s">
        <v>15</v>
      </c>
      <c r="I33" s="1">
        <v>0.24299999999999999</v>
      </c>
      <c r="J33" s="1" t="s">
        <v>44</v>
      </c>
      <c r="K33" s="1" t="s">
        <v>117</v>
      </c>
      <c r="L33" s="1" t="s">
        <v>118</v>
      </c>
      <c r="M33" s="1" t="s">
        <v>586</v>
      </c>
      <c r="N33" s="1" t="s">
        <v>462</v>
      </c>
      <c r="O33" s="4">
        <v>1.4784791380522293</v>
      </c>
      <c r="P33" s="4">
        <v>0.83934492733173427</v>
      </c>
      <c r="Q33" s="4">
        <v>1.4136335618218681</v>
      </c>
      <c r="R33" s="4">
        <v>0.94612377764562428</v>
      </c>
      <c r="S33" s="4">
        <v>0.63209416497706927</v>
      </c>
      <c r="T33" s="4">
        <v>0.76879638698509711</v>
      </c>
      <c r="U33" s="2">
        <f t="shared" si="0"/>
        <v>1.0130786594689369</v>
      </c>
      <c r="V33" s="3">
        <f t="shared" si="1"/>
        <v>0.35114988675490499</v>
      </c>
      <c r="W33" s="1" t="s">
        <v>561</v>
      </c>
      <c r="AB33" s="6"/>
    </row>
    <row r="34" spans="1:28" ht="15.6" x14ac:dyDescent="0.3">
      <c r="A34" s="1">
        <v>33</v>
      </c>
      <c r="B34" s="1" t="s">
        <v>126</v>
      </c>
      <c r="C34" s="1">
        <v>301</v>
      </c>
      <c r="D34" s="1">
        <v>1</v>
      </c>
      <c r="E34" s="1" t="s">
        <v>127</v>
      </c>
      <c r="F34" s="1">
        <v>2970425</v>
      </c>
      <c r="G34" s="1" t="s">
        <v>72</v>
      </c>
      <c r="H34" s="1" t="s">
        <v>14</v>
      </c>
      <c r="I34" s="1">
        <v>0.39300000000000002</v>
      </c>
      <c r="J34" s="1" t="s">
        <v>16</v>
      </c>
      <c r="K34" s="1" t="s">
        <v>129</v>
      </c>
      <c r="L34" s="1" t="s">
        <v>75</v>
      </c>
      <c r="M34" s="1" t="s">
        <v>587</v>
      </c>
      <c r="N34" s="1" t="s">
        <v>463</v>
      </c>
      <c r="O34" s="4">
        <v>1.2709323820795975</v>
      </c>
      <c r="P34" s="4">
        <v>1.2407707621425637</v>
      </c>
      <c r="Q34" s="4">
        <v>1.1715573783757971</v>
      </c>
      <c r="R34" s="4">
        <v>0.76119958474216132</v>
      </c>
      <c r="S34" s="4">
        <v>0.69042137773982004</v>
      </c>
      <c r="T34" s="4">
        <v>0.58483988538111542</v>
      </c>
      <c r="U34" s="2">
        <f t="shared" si="0"/>
        <v>0.95328689507684272</v>
      </c>
      <c r="V34" s="3">
        <f t="shared" si="1"/>
        <v>0.30755053147931016</v>
      </c>
      <c r="W34" s="1">
        <f>_xlfn.T.TEST(O34:T34,O35:T35,2,3)</f>
        <v>0.38230832772400358</v>
      </c>
    </row>
    <row r="35" spans="1:28" ht="15.6" x14ac:dyDescent="0.3">
      <c r="A35" s="1">
        <v>34</v>
      </c>
      <c r="B35" s="1" t="s">
        <v>130</v>
      </c>
      <c r="C35" s="1">
        <v>301</v>
      </c>
      <c r="D35" s="1">
        <v>1</v>
      </c>
      <c r="E35" s="1" t="s">
        <v>127</v>
      </c>
      <c r="F35" s="1">
        <v>2970425</v>
      </c>
      <c r="G35" s="1" t="s">
        <v>72</v>
      </c>
      <c r="H35" s="1" t="s">
        <v>14</v>
      </c>
      <c r="I35" s="1">
        <v>0.39300000000000002</v>
      </c>
      <c r="J35" s="1" t="s">
        <v>16</v>
      </c>
      <c r="K35" s="1" t="s">
        <v>129</v>
      </c>
      <c r="L35" s="1" t="s">
        <v>75</v>
      </c>
      <c r="M35" s="1" t="s">
        <v>587</v>
      </c>
      <c r="N35" s="1" t="s">
        <v>464</v>
      </c>
      <c r="O35" s="4">
        <v>1.1014747311356512</v>
      </c>
      <c r="P35" s="4">
        <v>1.5327168238231668</v>
      </c>
      <c r="Q35" s="4">
        <v>1.258339406403634</v>
      </c>
      <c r="R35" s="4">
        <v>0.94352044964109616</v>
      </c>
      <c r="S35" s="4">
        <v>0.93711634923925968</v>
      </c>
      <c r="T35" s="4">
        <v>0.84418612895428313</v>
      </c>
      <c r="U35" s="2">
        <f t="shared" si="0"/>
        <v>1.1028923148661818</v>
      </c>
      <c r="V35" s="3">
        <f t="shared" si="1"/>
        <v>0.25640782716022681</v>
      </c>
      <c r="W35" s="1" t="s">
        <v>561</v>
      </c>
    </row>
    <row r="36" spans="1:28" ht="15.6" x14ac:dyDescent="0.3">
      <c r="A36" s="1">
        <v>35</v>
      </c>
      <c r="B36" s="1" t="s">
        <v>132</v>
      </c>
      <c r="C36" s="1">
        <v>301</v>
      </c>
      <c r="D36" s="1">
        <v>1</v>
      </c>
      <c r="E36" s="1" t="s">
        <v>133</v>
      </c>
      <c r="F36" s="1">
        <v>2971886</v>
      </c>
      <c r="G36" s="1" t="s">
        <v>14</v>
      </c>
      <c r="H36" s="1" t="s">
        <v>72</v>
      </c>
      <c r="I36" s="1">
        <v>0.36899999999999999</v>
      </c>
      <c r="J36" s="1" t="s">
        <v>16</v>
      </c>
      <c r="K36" s="1" t="s">
        <v>129</v>
      </c>
      <c r="L36" s="1" t="s">
        <v>75</v>
      </c>
      <c r="M36" s="1" t="s">
        <v>587</v>
      </c>
      <c r="N36" s="1" t="s">
        <v>465</v>
      </c>
      <c r="O36" s="4">
        <v>0.55592975706387593</v>
      </c>
      <c r="P36" s="4">
        <v>0.47339676791993912</v>
      </c>
      <c r="Q36" s="4">
        <v>0.38719401807108833</v>
      </c>
      <c r="R36" s="4">
        <v>0.41634673419598883</v>
      </c>
      <c r="S36" s="4">
        <v>0.41762604377705742</v>
      </c>
      <c r="T36" s="4">
        <v>0.42526584295506353</v>
      </c>
      <c r="U36" s="2">
        <f t="shared" si="0"/>
        <v>0.44595986066383553</v>
      </c>
      <c r="V36" s="3">
        <f t="shared" si="1"/>
        <v>6.0675482786964774E-2</v>
      </c>
      <c r="W36" s="1">
        <f>_xlfn.T.TEST(O36:T36,O37:T37,2,3)</f>
        <v>0.73102473765654219</v>
      </c>
    </row>
    <row r="37" spans="1:28" ht="15.6" x14ac:dyDescent="0.3">
      <c r="A37" s="1">
        <v>36</v>
      </c>
      <c r="B37" s="1" t="s">
        <v>135</v>
      </c>
      <c r="C37" s="1">
        <v>301</v>
      </c>
      <c r="D37" s="1">
        <v>1</v>
      </c>
      <c r="E37" s="1" t="s">
        <v>133</v>
      </c>
      <c r="F37" s="1">
        <v>2971886</v>
      </c>
      <c r="G37" s="1" t="s">
        <v>14</v>
      </c>
      <c r="H37" s="1" t="s">
        <v>72</v>
      </c>
      <c r="I37" s="1">
        <v>0.36899999999999999</v>
      </c>
      <c r="J37" s="1" t="s">
        <v>16</v>
      </c>
      <c r="K37" s="1" t="s">
        <v>129</v>
      </c>
      <c r="L37" s="1" t="s">
        <v>75</v>
      </c>
      <c r="M37" s="1" t="s">
        <v>587</v>
      </c>
      <c r="N37" s="1" t="s">
        <v>466</v>
      </c>
      <c r="O37" s="4">
        <v>0.48572062265922455</v>
      </c>
      <c r="P37" s="4">
        <v>0.41547192035346991</v>
      </c>
      <c r="Q37" s="4">
        <v>0.57761371343259138</v>
      </c>
      <c r="R37" s="4">
        <v>0.51730948790666997</v>
      </c>
      <c r="S37" s="4">
        <v>0.40215347236915616</v>
      </c>
      <c r="T37" s="4">
        <v>0.36477287031208527</v>
      </c>
      <c r="U37" s="2">
        <f t="shared" si="0"/>
        <v>0.46050701450553294</v>
      </c>
      <c r="V37" s="3">
        <f t="shared" si="1"/>
        <v>8.0217888159445153E-2</v>
      </c>
      <c r="W37" s="1" t="s">
        <v>561</v>
      </c>
    </row>
    <row r="38" spans="1:28" ht="15.6" x14ac:dyDescent="0.3">
      <c r="A38" s="1">
        <v>37</v>
      </c>
      <c r="B38" s="1" t="s">
        <v>137</v>
      </c>
      <c r="C38" s="1">
        <v>301</v>
      </c>
      <c r="D38" s="1">
        <v>1</v>
      </c>
      <c r="E38" s="1" t="s">
        <v>138</v>
      </c>
      <c r="F38" s="1">
        <v>36963038</v>
      </c>
      <c r="G38" s="1" t="s">
        <v>24</v>
      </c>
      <c r="H38" s="1" t="s">
        <v>15</v>
      </c>
      <c r="I38" s="1">
        <v>0.106</v>
      </c>
      <c r="J38" s="1" t="s">
        <v>16</v>
      </c>
      <c r="K38" s="1" t="s">
        <v>140</v>
      </c>
      <c r="L38" s="1" t="s">
        <v>75</v>
      </c>
      <c r="M38" s="1" t="s">
        <v>588</v>
      </c>
      <c r="N38" s="1" t="s">
        <v>467</v>
      </c>
      <c r="O38" s="4">
        <v>29.978435179900721</v>
      </c>
      <c r="P38" s="4">
        <v>31.256453736772805</v>
      </c>
      <c r="Q38" s="4">
        <v>29.527906111628031</v>
      </c>
      <c r="R38" s="4">
        <v>14.705261448231552</v>
      </c>
      <c r="S38" s="4">
        <v>16.48346443771371</v>
      </c>
      <c r="T38" s="4">
        <v>15.917689812054808</v>
      </c>
      <c r="U38" s="2">
        <f t="shared" si="0"/>
        <v>22.978201787716937</v>
      </c>
      <c r="V38" s="3">
        <f t="shared" si="1"/>
        <v>8.0113086830109381</v>
      </c>
      <c r="W38" s="1">
        <f>_xlfn.T.TEST(O38:T38,O39:T39,2,3)</f>
        <v>8.8068656018029212E-2</v>
      </c>
    </row>
    <row r="39" spans="1:28" ht="15.6" x14ac:dyDescent="0.3">
      <c r="A39" s="1">
        <v>38</v>
      </c>
      <c r="B39" s="1" t="s">
        <v>141</v>
      </c>
      <c r="C39" s="1">
        <v>301</v>
      </c>
      <c r="D39" s="1">
        <v>1</v>
      </c>
      <c r="E39" s="1" t="s">
        <v>138</v>
      </c>
      <c r="F39" s="1">
        <v>36963038</v>
      </c>
      <c r="G39" s="1" t="s">
        <v>24</v>
      </c>
      <c r="H39" s="1" t="s">
        <v>15</v>
      </c>
      <c r="I39" s="1">
        <v>0.106</v>
      </c>
      <c r="J39" s="1" t="s">
        <v>16</v>
      </c>
      <c r="K39" s="1" t="s">
        <v>140</v>
      </c>
      <c r="L39" s="1" t="s">
        <v>75</v>
      </c>
      <c r="M39" s="1" t="s">
        <v>588</v>
      </c>
      <c r="N39" s="1" t="s">
        <v>468</v>
      </c>
      <c r="O39" s="4">
        <v>51.539540809987898</v>
      </c>
      <c r="P39" s="4">
        <v>48.935925259055225</v>
      </c>
      <c r="Q39" s="4">
        <v>53.777041403401391</v>
      </c>
      <c r="R39" s="4">
        <v>22.601984766861985</v>
      </c>
      <c r="S39" s="4">
        <v>24.286997372163174</v>
      </c>
      <c r="T39" s="4">
        <v>21.662142277212627</v>
      </c>
      <c r="U39" s="2">
        <f t="shared" si="0"/>
        <v>37.13393864811372</v>
      </c>
      <c r="V39" s="3">
        <f t="shared" si="1"/>
        <v>15.744200186934091</v>
      </c>
      <c r="W39" s="1" t="s">
        <v>561</v>
      </c>
    </row>
    <row r="40" spans="1:28" ht="15.6" x14ac:dyDescent="0.3">
      <c r="A40" s="1">
        <v>39</v>
      </c>
      <c r="B40" s="1" t="s">
        <v>143</v>
      </c>
      <c r="C40" s="1">
        <v>301</v>
      </c>
      <c r="D40" s="1">
        <v>1</v>
      </c>
      <c r="E40" s="1" t="s">
        <v>144</v>
      </c>
      <c r="F40" s="1">
        <v>135114363</v>
      </c>
      <c r="G40" s="1" t="s">
        <v>24</v>
      </c>
      <c r="H40" s="1" t="s">
        <v>15</v>
      </c>
      <c r="I40" s="1">
        <v>0.83299999999999996</v>
      </c>
      <c r="J40" s="1" t="s">
        <v>44</v>
      </c>
      <c r="K40" s="1" t="s">
        <v>146</v>
      </c>
      <c r="L40" s="1" t="s">
        <v>147</v>
      </c>
      <c r="M40" s="1" t="s">
        <v>589</v>
      </c>
      <c r="N40" s="1" t="s">
        <v>469</v>
      </c>
      <c r="O40" s="4">
        <v>1.1853284231989938</v>
      </c>
      <c r="P40" s="4">
        <v>1.6668323077586813</v>
      </c>
      <c r="Q40" s="4">
        <v>1.4072849081011112</v>
      </c>
      <c r="R40" s="4">
        <v>0.79262877202758797</v>
      </c>
      <c r="S40" s="4">
        <v>0.80197813392477713</v>
      </c>
      <c r="T40" s="4">
        <v>0.77972613548191771</v>
      </c>
      <c r="U40" s="2">
        <f t="shared" si="0"/>
        <v>1.1056297800821782</v>
      </c>
      <c r="V40" s="3">
        <f t="shared" si="1"/>
        <v>0.37647924401387617</v>
      </c>
      <c r="W40" s="1">
        <f>_xlfn.T.TEST(O40:T40,O41:T41,2,3)</f>
        <v>7.3713170814128579E-2</v>
      </c>
    </row>
    <row r="41" spans="1:28" ht="15.6" x14ac:dyDescent="0.3">
      <c r="A41" s="1">
        <v>40</v>
      </c>
      <c r="B41" s="1" t="s">
        <v>148</v>
      </c>
      <c r="C41" s="1">
        <v>301</v>
      </c>
      <c r="D41" s="1">
        <v>1</v>
      </c>
      <c r="E41" s="1" t="s">
        <v>144</v>
      </c>
      <c r="F41" s="1">
        <v>135114363</v>
      </c>
      <c r="G41" s="1" t="s">
        <v>24</v>
      </c>
      <c r="H41" s="1" t="s">
        <v>15</v>
      </c>
      <c r="I41" s="1">
        <v>0.83299999999999996</v>
      </c>
      <c r="J41" s="1" t="s">
        <v>44</v>
      </c>
      <c r="K41" s="1" t="s">
        <v>146</v>
      </c>
      <c r="L41" s="1" t="s">
        <v>147</v>
      </c>
      <c r="M41" s="1" t="s">
        <v>589</v>
      </c>
      <c r="N41" s="1" t="s">
        <v>470</v>
      </c>
      <c r="O41" s="4">
        <v>3.1254886182923438</v>
      </c>
      <c r="P41" s="4">
        <v>2.6137989683350651</v>
      </c>
      <c r="Q41" s="4">
        <v>2.835933814417849</v>
      </c>
      <c r="R41" s="4">
        <v>1.0898444848213167</v>
      </c>
      <c r="S41" s="4">
        <v>1.1444002868560967</v>
      </c>
      <c r="T41" s="4">
        <v>1.1826547220570303</v>
      </c>
      <c r="U41" s="2">
        <f t="shared" si="0"/>
        <v>1.9986868157966171</v>
      </c>
      <c r="V41" s="3">
        <f t="shared" si="1"/>
        <v>0.95611045733463584</v>
      </c>
      <c r="W41" s="1" t="s">
        <v>561</v>
      </c>
    </row>
    <row r="42" spans="1:28" ht="15.6" x14ac:dyDescent="0.3">
      <c r="A42" s="1">
        <v>41</v>
      </c>
      <c r="B42" s="1" t="s">
        <v>150</v>
      </c>
      <c r="C42" s="1">
        <v>301</v>
      </c>
      <c r="D42" s="1">
        <v>1</v>
      </c>
      <c r="E42" s="1" t="s">
        <v>151</v>
      </c>
      <c r="F42" s="1">
        <v>26397809</v>
      </c>
      <c r="G42" s="1" t="s">
        <v>24</v>
      </c>
      <c r="H42" s="1" t="s">
        <v>15</v>
      </c>
      <c r="I42" s="1">
        <v>0.20899999999999999</v>
      </c>
      <c r="J42" s="1" t="s">
        <v>25</v>
      </c>
      <c r="K42" s="1" t="s">
        <v>153</v>
      </c>
      <c r="L42" s="1" t="s">
        <v>75</v>
      </c>
      <c r="M42" s="1" t="s">
        <v>590</v>
      </c>
      <c r="N42" s="1" t="s">
        <v>471</v>
      </c>
      <c r="O42" s="4">
        <v>1.1358299514140882</v>
      </c>
      <c r="P42" s="4">
        <v>1.2238724063556321</v>
      </c>
      <c r="Q42" s="4">
        <v>0.76600410843867017</v>
      </c>
      <c r="R42" s="4">
        <v>0.72341945829356147</v>
      </c>
      <c r="S42" s="4">
        <v>0.68226036854667793</v>
      </c>
      <c r="T42" s="4">
        <v>0.63193927789915283</v>
      </c>
      <c r="U42" s="2">
        <f t="shared" si="0"/>
        <v>0.86055426182463046</v>
      </c>
      <c r="V42" s="3">
        <f t="shared" si="1"/>
        <v>0.25281455200390324</v>
      </c>
      <c r="W42" s="1">
        <f>_xlfn.T.TEST(O42:T42,O43:T43,2,3)</f>
        <v>0.9143130808772022</v>
      </c>
    </row>
    <row r="43" spans="1:28" ht="15.6" x14ac:dyDescent="0.3">
      <c r="A43" s="1">
        <v>42</v>
      </c>
      <c r="B43" s="1" t="s">
        <v>154</v>
      </c>
      <c r="C43" s="1">
        <v>301</v>
      </c>
      <c r="D43" s="1">
        <v>1</v>
      </c>
      <c r="E43" s="1" t="s">
        <v>151</v>
      </c>
      <c r="F43" s="1">
        <v>26397809</v>
      </c>
      <c r="G43" s="1" t="s">
        <v>24</v>
      </c>
      <c r="H43" s="1" t="s">
        <v>15</v>
      </c>
      <c r="I43" s="1">
        <v>0.20899999999999999</v>
      </c>
      <c r="J43" s="1" t="s">
        <v>25</v>
      </c>
      <c r="K43" s="1" t="s">
        <v>153</v>
      </c>
      <c r="L43" s="1" t="s">
        <v>75</v>
      </c>
      <c r="M43" s="1" t="s">
        <v>590</v>
      </c>
      <c r="N43" s="1" t="s">
        <v>472</v>
      </c>
      <c r="O43" s="4">
        <v>1.1220485712633106</v>
      </c>
      <c r="P43" s="4">
        <v>0.96811688475970825</v>
      </c>
      <c r="Q43" s="4">
        <v>0.7532288267163032</v>
      </c>
      <c r="R43" s="4">
        <v>0.90407383197248536</v>
      </c>
      <c r="S43" s="4">
        <v>0.63824720172573235</v>
      </c>
      <c r="T43" s="4">
        <v>0.6928524389290448</v>
      </c>
      <c r="U43" s="2">
        <f t="shared" si="0"/>
        <v>0.84642795922776404</v>
      </c>
      <c r="V43" s="3">
        <f t="shared" si="1"/>
        <v>0.18423284699016135</v>
      </c>
      <c r="W43" s="1" t="s">
        <v>561</v>
      </c>
    </row>
    <row r="44" spans="1:28" ht="15.6" x14ac:dyDescent="0.3">
      <c r="A44" s="1">
        <v>43</v>
      </c>
      <c r="B44" s="1" t="s">
        <v>156</v>
      </c>
      <c r="C44" s="1">
        <v>844</v>
      </c>
      <c r="D44" s="1">
        <v>5</v>
      </c>
      <c r="E44" s="1" t="s">
        <v>157</v>
      </c>
      <c r="F44" s="1" t="s">
        <v>158</v>
      </c>
      <c r="G44" s="1" t="s">
        <v>159</v>
      </c>
      <c r="H44" s="1" t="s">
        <v>160</v>
      </c>
      <c r="I44" s="1" t="s">
        <v>569</v>
      </c>
      <c r="J44" s="1" t="s">
        <v>36</v>
      </c>
      <c r="K44" s="1" t="s">
        <v>162</v>
      </c>
      <c r="L44" s="1" t="s">
        <v>163</v>
      </c>
      <c r="M44" s="1" t="s">
        <v>591</v>
      </c>
      <c r="N44" s="1" t="s">
        <v>473</v>
      </c>
      <c r="O44" s="4">
        <v>2.9953789372853432</v>
      </c>
      <c r="P44" s="4">
        <v>3.4600070366862754</v>
      </c>
      <c r="Q44" s="4">
        <v>2.8071516313508837</v>
      </c>
      <c r="R44" s="4">
        <v>1.5839804010966752</v>
      </c>
      <c r="S44" s="4">
        <v>1.7543838048343148</v>
      </c>
      <c r="T44" s="4">
        <v>1.6245059646742614</v>
      </c>
      <c r="U44" s="2">
        <f t="shared" si="0"/>
        <v>2.370901295987959</v>
      </c>
      <c r="V44" s="3">
        <f t="shared" si="1"/>
        <v>0.8152155906664692</v>
      </c>
      <c r="W44" s="1">
        <f>_xlfn.T.TEST(O44:T44,O45:T45,2,3)</f>
        <v>2.8086874233778952E-2</v>
      </c>
    </row>
    <row r="45" spans="1:28" ht="15.6" x14ac:dyDescent="0.3">
      <c r="A45" s="1">
        <v>44</v>
      </c>
      <c r="B45" s="1" t="s">
        <v>164</v>
      </c>
      <c r="C45" s="1">
        <v>844</v>
      </c>
      <c r="D45" s="1">
        <v>5</v>
      </c>
      <c r="E45" s="1" t="s">
        <v>157</v>
      </c>
      <c r="F45" s="1" t="s">
        <v>158</v>
      </c>
      <c r="G45" s="1" t="s">
        <v>159</v>
      </c>
      <c r="H45" s="1" t="s">
        <v>160</v>
      </c>
      <c r="I45" s="1" t="s">
        <v>569</v>
      </c>
      <c r="J45" s="1" t="s">
        <v>36</v>
      </c>
      <c r="K45" s="1" t="s">
        <v>162</v>
      </c>
      <c r="L45" s="1" t="s">
        <v>163</v>
      </c>
      <c r="M45" s="1" t="s">
        <v>591</v>
      </c>
      <c r="N45" s="1" t="s">
        <v>474</v>
      </c>
      <c r="O45" s="4">
        <v>1.7913934138104859</v>
      </c>
      <c r="P45" s="4">
        <v>1.6308461537251044</v>
      </c>
      <c r="Q45" s="4">
        <v>1.7232568419554191</v>
      </c>
      <c r="R45" s="4">
        <v>1.0272670321867594</v>
      </c>
      <c r="S45" s="4">
        <v>0.89890176347665673</v>
      </c>
      <c r="T45" s="4">
        <v>1.0724289716071829</v>
      </c>
      <c r="U45" s="2">
        <f t="shared" si="0"/>
        <v>1.3573490294602681</v>
      </c>
      <c r="V45" s="3">
        <f t="shared" si="1"/>
        <v>0.39934726536962883</v>
      </c>
      <c r="W45" s="1" t="s">
        <v>561</v>
      </c>
    </row>
    <row r="46" spans="1:28" ht="15.6" x14ac:dyDescent="0.3">
      <c r="A46" s="1">
        <v>45</v>
      </c>
      <c r="B46" s="1" t="s">
        <v>166</v>
      </c>
      <c r="C46" s="1">
        <v>566</v>
      </c>
      <c r="D46" s="1">
        <v>2</v>
      </c>
      <c r="E46" s="1" t="s">
        <v>167</v>
      </c>
      <c r="F46" s="1" t="s">
        <v>168</v>
      </c>
      <c r="G46" s="1" t="s">
        <v>169</v>
      </c>
      <c r="H46" s="1" t="s">
        <v>35</v>
      </c>
      <c r="I46" s="1" t="s">
        <v>570</v>
      </c>
      <c r="J46" s="1" t="s">
        <v>170</v>
      </c>
      <c r="K46" s="1" t="s">
        <v>172</v>
      </c>
      <c r="L46" s="1" t="s">
        <v>173</v>
      </c>
      <c r="M46" s="1" t="s">
        <v>592</v>
      </c>
      <c r="N46" s="1" t="s">
        <v>475</v>
      </c>
      <c r="O46" s="4">
        <v>0.55885765653361374</v>
      </c>
      <c r="P46" s="4">
        <v>0.37634344824313748</v>
      </c>
      <c r="Q46" s="4">
        <v>0.49199051371412372</v>
      </c>
      <c r="R46" s="4">
        <v>0.35379699009142712</v>
      </c>
      <c r="S46" s="4">
        <v>0.30913696215794523</v>
      </c>
      <c r="T46" s="4">
        <v>0.3296196565831343</v>
      </c>
      <c r="U46" s="2">
        <f t="shared" si="0"/>
        <v>0.40329087122056362</v>
      </c>
      <c r="V46" s="3">
        <f t="shared" si="1"/>
        <v>9.9535788140143161E-2</v>
      </c>
      <c r="W46" s="1">
        <f>_xlfn.T.TEST(O46:T46,O47:T47,2,3)</f>
        <v>0.35337375735814636</v>
      </c>
    </row>
    <row r="47" spans="1:28" ht="15.6" x14ac:dyDescent="0.3">
      <c r="A47" s="1">
        <v>46</v>
      </c>
      <c r="B47" s="1" t="s">
        <v>174</v>
      </c>
      <c r="C47" s="1">
        <v>566</v>
      </c>
      <c r="D47" s="1">
        <v>2</v>
      </c>
      <c r="E47" s="1" t="s">
        <v>167</v>
      </c>
      <c r="F47" s="1" t="s">
        <v>168</v>
      </c>
      <c r="G47" s="1" t="s">
        <v>169</v>
      </c>
      <c r="H47" s="1" t="s">
        <v>35</v>
      </c>
      <c r="I47" s="1" t="s">
        <v>570</v>
      </c>
      <c r="J47" s="1" t="s">
        <v>170</v>
      </c>
      <c r="K47" s="1" t="s">
        <v>172</v>
      </c>
      <c r="L47" s="1" t="s">
        <v>173</v>
      </c>
      <c r="M47" s="1" t="s">
        <v>592</v>
      </c>
      <c r="N47" s="1" t="s">
        <v>476</v>
      </c>
      <c r="O47" s="4">
        <v>0.67569906099661625</v>
      </c>
      <c r="P47" s="4">
        <v>0.42081598536522913</v>
      </c>
      <c r="Q47" s="4">
        <v>0.36625960465384766</v>
      </c>
      <c r="R47" s="4">
        <v>0.47369158850843313</v>
      </c>
      <c r="S47" s="4">
        <v>0.49078362624813154</v>
      </c>
      <c r="T47" s="4">
        <v>0.35867454583862551</v>
      </c>
      <c r="U47" s="2">
        <f t="shared" si="0"/>
        <v>0.46432073526848056</v>
      </c>
      <c r="V47" s="3">
        <f t="shared" si="1"/>
        <v>0.11673787733181439</v>
      </c>
      <c r="W47" s="1" t="s">
        <v>561</v>
      </c>
    </row>
    <row r="48" spans="1:28" ht="15.6" x14ac:dyDescent="0.3">
      <c r="A48" s="1">
        <v>47</v>
      </c>
      <c r="B48" s="1" t="s">
        <v>176</v>
      </c>
      <c r="C48" s="1">
        <v>301</v>
      </c>
      <c r="D48" s="1">
        <v>1</v>
      </c>
      <c r="E48" s="1" t="s">
        <v>177</v>
      </c>
      <c r="F48" s="1">
        <v>140478754</v>
      </c>
      <c r="G48" s="1" t="s">
        <v>15</v>
      </c>
      <c r="H48" s="1" t="s">
        <v>24</v>
      </c>
      <c r="I48" s="1">
        <v>0.26500000000000001</v>
      </c>
      <c r="J48" s="1" t="s">
        <v>16</v>
      </c>
      <c r="K48" s="1" t="s">
        <v>179</v>
      </c>
      <c r="L48" s="1" t="s">
        <v>28</v>
      </c>
      <c r="M48" s="1" t="s">
        <v>593</v>
      </c>
      <c r="N48" s="1" t="s">
        <v>477</v>
      </c>
      <c r="O48" s="4">
        <v>0.49192376693434975</v>
      </c>
      <c r="P48" s="4">
        <v>0.2928555509693278</v>
      </c>
      <c r="Q48" s="4">
        <v>0.28898964586611608</v>
      </c>
      <c r="R48" s="4">
        <v>0.29053749793059741</v>
      </c>
      <c r="S48" s="4">
        <v>0.19936179600389939</v>
      </c>
      <c r="T48" s="4">
        <v>0.24270131687431232</v>
      </c>
      <c r="U48" s="2">
        <f t="shared" si="0"/>
        <v>0.30106159576310049</v>
      </c>
      <c r="V48" s="3">
        <f t="shared" si="1"/>
        <v>0.10049971899254524</v>
      </c>
      <c r="W48" s="1">
        <f>_xlfn.T.TEST(O48:T48,O49:T49,2,3)</f>
        <v>0.99297973444860288</v>
      </c>
    </row>
    <row r="49" spans="1:23" ht="15.6" x14ac:dyDescent="0.3">
      <c r="A49" s="1">
        <v>48</v>
      </c>
      <c r="B49" s="1" t="s">
        <v>180</v>
      </c>
      <c r="C49" s="1">
        <v>301</v>
      </c>
      <c r="D49" s="1">
        <v>1</v>
      </c>
      <c r="E49" s="1" t="s">
        <v>177</v>
      </c>
      <c r="F49" s="1">
        <v>140478754</v>
      </c>
      <c r="G49" s="1" t="s">
        <v>15</v>
      </c>
      <c r="H49" s="1" t="s">
        <v>24</v>
      </c>
      <c r="I49" s="1">
        <v>0.26500000000000001</v>
      </c>
      <c r="J49" s="1" t="s">
        <v>16</v>
      </c>
      <c r="K49" s="1" t="s">
        <v>179</v>
      </c>
      <c r="L49" s="1" t="s">
        <v>28</v>
      </c>
      <c r="M49" s="1" t="s">
        <v>593</v>
      </c>
      <c r="N49" s="1" t="s">
        <v>478</v>
      </c>
      <c r="O49" s="4">
        <v>0.49412158665521277</v>
      </c>
      <c r="P49" s="4">
        <v>0.409209715264225</v>
      </c>
      <c r="Q49" s="4">
        <v>0.35587288411275764</v>
      </c>
      <c r="R49" s="4">
        <v>0.2136909250916797</v>
      </c>
      <c r="S49" s="4">
        <v>0.15718327295284609</v>
      </c>
      <c r="T49" s="4">
        <v>0.18006871897126397</v>
      </c>
      <c r="U49" s="2">
        <f t="shared" si="0"/>
        <v>0.30169118384133087</v>
      </c>
      <c r="V49" s="3">
        <f t="shared" si="1"/>
        <v>0.13779982364370563</v>
      </c>
      <c r="W49" s="1" t="s">
        <v>561</v>
      </c>
    </row>
    <row r="50" spans="1:23" ht="15.6" x14ac:dyDescent="0.3">
      <c r="A50" s="1">
        <v>49</v>
      </c>
      <c r="B50" s="1" t="s">
        <v>182</v>
      </c>
      <c r="C50" s="1">
        <v>480</v>
      </c>
      <c r="D50" s="1">
        <v>2</v>
      </c>
      <c r="E50" s="1" t="s">
        <v>183</v>
      </c>
      <c r="F50" s="1" t="s">
        <v>184</v>
      </c>
      <c r="G50" s="1" t="s">
        <v>35</v>
      </c>
      <c r="H50" s="1" t="s">
        <v>185</v>
      </c>
      <c r="I50" s="1" t="s">
        <v>571</v>
      </c>
      <c r="J50" s="1" t="s">
        <v>44</v>
      </c>
      <c r="K50" s="1" t="s">
        <v>187</v>
      </c>
      <c r="L50" s="1" t="s">
        <v>188</v>
      </c>
      <c r="M50" s="1" t="s">
        <v>594</v>
      </c>
      <c r="N50" s="1" t="s">
        <v>479</v>
      </c>
      <c r="O50" s="4">
        <v>1.8123507202844464</v>
      </c>
      <c r="P50" s="4">
        <v>2.2502544968679201</v>
      </c>
      <c r="Q50" s="4">
        <v>2.0436224317642226</v>
      </c>
      <c r="R50" s="4">
        <v>1.2048558443641604</v>
      </c>
      <c r="S50" s="4">
        <v>1.2599342654335504</v>
      </c>
      <c r="T50" s="4">
        <v>1.1045721129945778</v>
      </c>
      <c r="U50" s="2">
        <f t="shared" si="0"/>
        <v>1.6125983119514797</v>
      </c>
      <c r="V50" s="3">
        <f t="shared" si="1"/>
        <v>0.48600508126243974</v>
      </c>
      <c r="W50" s="1">
        <f>_xlfn.T.TEST(O50:T50,O51:T51,2,3)</f>
        <v>0.80980506538537367</v>
      </c>
    </row>
    <row r="51" spans="1:23" ht="15.6" x14ac:dyDescent="0.3">
      <c r="A51" s="1">
        <v>50</v>
      </c>
      <c r="B51" s="1" t="s">
        <v>189</v>
      </c>
      <c r="C51" s="1">
        <v>480</v>
      </c>
      <c r="D51" s="1">
        <v>2</v>
      </c>
      <c r="E51" s="1" t="s">
        <v>183</v>
      </c>
      <c r="F51" s="1" t="s">
        <v>184</v>
      </c>
      <c r="G51" s="1" t="s">
        <v>35</v>
      </c>
      <c r="H51" s="1" t="s">
        <v>185</v>
      </c>
      <c r="I51" s="1" t="s">
        <v>571</v>
      </c>
      <c r="J51" s="1" t="s">
        <v>44</v>
      </c>
      <c r="K51" s="1" t="s">
        <v>187</v>
      </c>
      <c r="L51" s="1" t="s">
        <v>188</v>
      </c>
      <c r="M51" s="1" t="s">
        <v>594</v>
      </c>
      <c r="N51" s="1" t="s">
        <v>480</v>
      </c>
      <c r="O51" s="4">
        <v>1.4680040834304016</v>
      </c>
      <c r="P51" s="4">
        <v>2.4608067187680387</v>
      </c>
      <c r="Q51" s="4">
        <v>2.4151901466304446</v>
      </c>
      <c r="R51" s="4">
        <v>1.0111807176242142</v>
      </c>
      <c r="S51" s="4">
        <v>1.4802815136483867</v>
      </c>
      <c r="T51" s="4">
        <v>1.30957585563431</v>
      </c>
      <c r="U51" s="2">
        <f t="shared" si="0"/>
        <v>1.6908398392892992</v>
      </c>
      <c r="V51" s="3">
        <f t="shared" si="1"/>
        <v>0.60312879100908134</v>
      </c>
      <c r="W51" s="1" t="s">
        <v>561</v>
      </c>
    </row>
    <row r="52" spans="1:23" ht="15.6" x14ac:dyDescent="0.3">
      <c r="A52" s="1">
        <v>51</v>
      </c>
      <c r="B52" s="1" t="s">
        <v>191</v>
      </c>
      <c r="C52" s="1">
        <v>301</v>
      </c>
      <c r="D52" s="1">
        <v>1</v>
      </c>
      <c r="E52" s="1" t="s">
        <v>192</v>
      </c>
      <c r="F52" s="1">
        <v>129172930</v>
      </c>
      <c r="G52" s="1" t="s">
        <v>72</v>
      </c>
      <c r="H52" s="1" t="s">
        <v>14</v>
      </c>
      <c r="I52" s="1">
        <v>0.68799999999999994</v>
      </c>
      <c r="J52" s="1" t="s">
        <v>36</v>
      </c>
      <c r="K52" s="1" t="s">
        <v>194</v>
      </c>
      <c r="L52" s="1" t="s">
        <v>19</v>
      </c>
      <c r="M52" s="1" t="s">
        <v>595</v>
      </c>
      <c r="N52" s="1" t="s">
        <v>481</v>
      </c>
      <c r="O52" s="4">
        <v>14.146629066484374</v>
      </c>
      <c r="P52" s="4">
        <v>14.041342018961858</v>
      </c>
      <c r="Q52" s="4">
        <v>15.761491935904289</v>
      </c>
      <c r="R52" s="4">
        <v>7.5199682637740288</v>
      </c>
      <c r="S52" s="4">
        <v>8.2890955408174971</v>
      </c>
      <c r="T52" s="4">
        <v>8.7167111422012624</v>
      </c>
      <c r="U52" s="2">
        <f t="shared" si="0"/>
        <v>11.41253966135722</v>
      </c>
      <c r="V52" s="3">
        <f t="shared" si="1"/>
        <v>3.6186942192170823</v>
      </c>
      <c r="W52" s="1">
        <f>_xlfn.T.TEST(O52:T52,O53:T53,2,3)</f>
        <v>3.8525955946012874E-3</v>
      </c>
    </row>
    <row r="53" spans="1:23" ht="15.6" x14ac:dyDescent="0.3">
      <c r="A53" s="1">
        <v>52</v>
      </c>
      <c r="B53" s="1" t="s">
        <v>195</v>
      </c>
      <c r="C53" s="1">
        <v>301</v>
      </c>
      <c r="D53" s="1">
        <v>1</v>
      </c>
      <c r="E53" s="1" t="s">
        <v>192</v>
      </c>
      <c r="F53" s="1">
        <v>129172930</v>
      </c>
      <c r="G53" s="1" t="s">
        <v>72</v>
      </c>
      <c r="H53" s="1" t="s">
        <v>14</v>
      </c>
      <c r="I53" s="1">
        <v>0.68799999999999994</v>
      </c>
      <c r="J53" s="1" t="s">
        <v>36</v>
      </c>
      <c r="K53" s="1" t="s">
        <v>194</v>
      </c>
      <c r="L53" s="1" t="s">
        <v>19</v>
      </c>
      <c r="M53" s="1" t="s">
        <v>595</v>
      </c>
      <c r="N53" s="1" t="s">
        <v>482</v>
      </c>
      <c r="O53" s="5">
        <v>6.5783784029822892</v>
      </c>
      <c r="P53" s="5">
        <v>6.4128808056645745</v>
      </c>
      <c r="Q53" s="5">
        <v>6.5168186648160047</v>
      </c>
      <c r="R53" s="5">
        <v>2.6146635548938382</v>
      </c>
      <c r="S53" s="5">
        <v>2.4620934459340131</v>
      </c>
      <c r="T53" s="5">
        <v>2.7325369103653734</v>
      </c>
      <c r="U53" s="2">
        <f t="shared" si="0"/>
        <v>4.5528952974426815</v>
      </c>
      <c r="V53" s="3">
        <f t="shared" si="1"/>
        <v>2.1382713682802539</v>
      </c>
      <c r="W53" s="1" t="s">
        <v>561</v>
      </c>
    </row>
    <row r="54" spans="1:23" x14ac:dyDescent="0.3">
      <c r="A54" s="1">
        <v>53</v>
      </c>
      <c r="B54" s="1" t="s">
        <v>197</v>
      </c>
      <c r="C54" s="1">
        <v>301</v>
      </c>
      <c r="D54" s="1">
        <v>1</v>
      </c>
      <c r="E54" s="1" t="s">
        <v>198</v>
      </c>
      <c r="F54" s="1">
        <v>130042955</v>
      </c>
      <c r="G54" s="1" t="s">
        <v>72</v>
      </c>
      <c r="H54" s="1" t="s">
        <v>24</v>
      </c>
      <c r="I54" s="1">
        <v>0.16300000000000001</v>
      </c>
      <c r="J54" s="1" t="s">
        <v>25</v>
      </c>
      <c r="K54" s="1" t="s">
        <v>200</v>
      </c>
      <c r="L54" s="1" t="s">
        <v>75</v>
      </c>
      <c r="M54" s="1" t="s">
        <v>596</v>
      </c>
      <c r="N54" s="1" t="s">
        <v>483</v>
      </c>
      <c r="O54" s="2">
        <v>0.76247171806788083</v>
      </c>
      <c r="P54" s="2">
        <v>0.50196054772802157</v>
      </c>
      <c r="Q54" s="2">
        <v>0.50831447871192059</v>
      </c>
      <c r="R54" s="2">
        <v>0.70416748127602835</v>
      </c>
      <c r="S54" s="2">
        <v>0.77143236994352316</v>
      </c>
      <c r="T54" s="2">
        <v>0.63804999806648444</v>
      </c>
      <c r="U54" s="2">
        <f t="shared" si="0"/>
        <v>0.64773276563230986</v>
      </c>
      <c r="V54" s="3">
        <f t="shared" si="1"/>
        <v>0.12035966988226185</v>
      </c>
      <c r="W54" s="1">
        <f>_xlfn.T.TEST(O54:T54,O55:T55,2,3)</f>
        <v>0.19343510469968916</v>
      </c>
    </row>
    <row r="55" spans="1:23" x14ac:dyDescent="0.3">
      <c r="A55" s="1">
        <v>54</v>
      </c>
      <c r="B55" s="1" t="s">
        <v>201</v>
      </c>
      <c r="C55" s="1">
        <v>301</v>
      </c>
      <c r="D55" s="1">
        <v>1</v>
      </c>
      <c r="E55" s="1" t="s">
        <v>198</v>
      </c>
      <c r="F55" s="1">
        <v>130042955</v>
      </c>
      <c r="G55" s="1" t="s">
        <v>72</v>
      </c>
      <c r="H55" s="1" t="s">
        <v>24</v>
      </c>
      <c r="I55" s="1">
        <v>0.16300000000000001</v>
      </c>
      <c r="J55" s="1" t="s">
        <v>25</v>
      </c>
      <c r="K55" s="1" t="s">
        <v>200</v>
      </c>
      <c r="L55" s="1" t="s">
        <v>75</v>
      </c>
      <c r="M55" s="1" t="s">
        <v>596</v>
      </c>
      <c r="N55" s="1" t="s">
        <v>484</v>
      </c>
      <c r="O55" s="2">
        <v>0.55146726841530458</v>
      </c>
      <c r="P55" s="2">
        <v>0.76278318527297395</v>
      </c>
      <c r="Q55" s="2">
        <v>0.7480196397515616</v>
      </c>
      <c r="R55" s="2">
        <v>0.91864164670072945</v>
      </c>
      <c r="S55" s="2">
        <v>0.82004917243245479</v>
      </c>
      <c r="T55" s="2">
        <v>0.67797426585827247</v>
      </c>
      <c r="U55" s="2">
        <f t="shared" si="0"/>
        <v>0.74648919640521605</v>
      </c>
      <c r="V55" s="3">
        <f t="shared" si="1"/>
        <v>0.12493455939066021</v>
      </c>
      <c r="W55" s="1" t="s">
        <v>561</v>
      </c>
    </row>
    <row r="56" spans="1:23" x14ac:dyDescent="0.3">
      <c r="A56" s="1">
        <v>55</v>
      </c>
      <c r="B56" s="1" t="s">
        <v>203</v>
      </c>
      <c r="C56" s="1">
        <v>301</v>
      </c>
      <c r="D56" s="1">
        <v>1</v>
      </c>
      <c r="E56" s="1" t="s">
        <v>204</v>
      </c>
      <c r="F56" s="1">
        <v>61961417</v>
      </c>
      <c r="G56" s="1" t="s">
        <v>15</v>
      </c>
      <c r="H56" s="1" t="s">
        <v>24</v>
      </c>
      <c r="I56" s="1">
        <v>0.85</v>
      </c>
      <c r="J56" s="1" t="s">
        <v>36</v>
      </c>
      <c r="K56" s="1" t="s">
        <v>206</v>
      </c>
      <c r="L56" s="1" t="s">
        <v>173</v>
      </c>
      <c r="M56" s="1" t="s">
        <v>597</v>
      </c>
      <c r="N56" s="1" t="s">
        <v>485</v>
      </c>
      <c r="O56" s="2">
        <v>4.6314226537038783</v>
      </c>
      <c r="P56" s="2">
        <v>5.378583323534194</v>
      </c>
      <c r="Q56" s="2">
        <v>4.8847977472426738</v>
      </c>
      <c r="R56" s="2">
        <v>3.2122827245855992</v>
      </c>
      <c r="S56" s="2">
        <v>2.4710147477098117</v>
      </c>
      <c r="T56" s="2">
        <v>2.1486731157730614</v>
      </c>
      <c r="U56" s="2">
        <f t="shared" si="0"/>
        <v>3.7877957187582036</v>
      </c>
      <c r="V56" s="3">
        <f t="shared" si="1"/>
        <v>1.3562872335288905</v>
      </c>
      <c r="W56" s="1">
        <f>_xlfn.T.TEST(O56:T56,O57:T57,2,3)</f>
        <v>0.81529694082116067</v>
      </c>
    </row>
    <row r="57" spans="1:23" x14ac:dyDescent="0.3">
      <c r="A57" s="1">
        <v>56</v>
      </c>
      <c r="B57" s="1" t="s">
        <v>207</v>
      </c>
      <c r="C57" s="1">
        <v>301</v>
      </c>
      <c r="D57" s="1">
        <v>1</v>
      </c>
      <c r="E57" s="1" t="s">
        <v>204</v>
      </c>
      <c r="F57" s="1">
        <v>61961417</v>
      </c>
      <c r="G57" s="1" t="s">
        <v>15</v>
      </c>
      <c r="H57" s="1" t="s">
        <v>24</v>
      </c>
      <c r="I57" s="1">
        <v>0.85</v>
      </c>
      <c r="J57" s="1" t="s">
        <v>36</v>
      </c>
      <c r="K57" s="1" t="s">
        <v>206</v>
      </c>
      <c r="L57" s="1" t="s">
        <v>173</v>
      </c>
      <c r="M57" s="1" t="s">
        <v>597</v>
      </c>
      <c r="N57" s="1" t="s">
        <v>486</v>
      </c>
      <c r="O57" s="2">
        <v>6.228029018106934</v>
      </c>
      <c r="P57" s="2">
        <v>2.3621672834259839</v>
      </c>
      <c r="Q57" s="2">
        <v>3.9310912783656708</v>
      </c>
      <c r="R57" s="2">
        <v>3.8222801130277411</v>
      </c>
      <c r="S57" s="2">
        <v>3.7112883130124161</v>
      </c>
      <c r="T57" s="2">
        <v>3.7559443225042948</v>
      </c>
      <c r="U57" s="2">
        <f t="shared" si="0"/>
        <v>3.9684667214071734</v>
      </c>
      <c r="V57" s="3">
        <f t="shared" si="1"/>
        <v>1.2505913488520322</v>
      </c>
      <c r="W57" s="1" t="s">
        <v>561</v>
      </c>
    </row>
    <row r="58" spans="1:23" x14ac:dyDescent="0.3">
      <c r="A58" s="1">
        <v>57</v>
      </c>
      <c r="B58" s="1" t="s">
        <v>209</v>
      </c>
      <c r="C58" s="1">
        <v>301</v>
      </c>
      <c r="D58" s="1">
        <v>1</v>
      </c>
      <c r="E58" s="1" t="s">
        <v>210</v>
      </c>
      <c r="F58" s="1">
        <v>61964631</v>
      </c>
      <c r="G58" s="1" t="s">
        <v>14</v>
      </c>
      <c r="H58" s="1" t="s">
        <v>72</v>
      </c>
      <c r="I58" s="1">
        <v>6.4000000000000001E-2</v>
      </c>
      <c r="J58" s="1" t="s">
        <v>36</v>
      </c>
      <c r="K58" s="1" t="s">
        <v>206</v>
      </c>
      <c r="L58" s="1" t="s">
        <v>173</v>
      </c>
      <c r="M58" s="1" t="s">
        <v>597</v>
      </c>
      <c r="N58" s="1" t="s">
        <v>487</v>
      </c>
      <c r="O58" s="2">
        <v>1.2781402835667215</v>
      </c>
      <c r="P58" s="2">
        <v>0.93967781618617208</v>
      </c>
      <c r="Q58" s="2">
        <v>1.3274989691980736</v>
      </c>
      <c r="R58" s="2">
        <v>1.3250965425310388</v>
      </c>
      <c r="S58" s="2">
        <v>1.2900285354166035</v>
      </c>
      <c r="T58" s="2">
        <v>1.1074414932427028</v>
      </c>
      <c r="U58" s="2">
        <f t="shared" si="0"/>
        <v>1.211313940023552</v>
      </c>
      <c r="V58" s="3">
        <f t="shared" si="1"/>
        <v>0.15600183225240702</v>
      </c>
      <c r="W58" s="1">
        <f>_xlfn.T.TEST(O58:T58,O59:T59,2,3)</f>
        <v>6.1127706739822339E-2</v>
      </c>
    </row>
    <row r="59" spans="1:23" x14ac:dyDescent="0.3">
      <c r="A59" s="1">
        <v>58</v>
      </c>
      <c r="B59" s="1" t="s">
        <v>212</v>
      </c>
      <c r="C59" s="1">
        <v>301</v>
      </c>
      <c r="D59" s="1">
        <v>1</v>
      </c>
      <c r="E59" s="1" t="s">
        <v>210</v>
      </c>
      <c r="F59" s="1">
        <v>61964631</v>
      </c>
      <c r="G59" s="1" t="s">
        <v>14</v>
      </c>
      <c r="H59" s="1" t="s">
        <v>72</v>
      </c>
      <c r="I59" s="1">
        <v>6.4000000000000001E-2</v>
      </c>
      <c r="J59" s="1" t="s">
        <v>36</v>
      </c>
      <c r="K59" s="1" t="s">
        <v>206</v>
      </c>
      <c r="L59" s="1" t="s">
        <v>173</v>
      </c>
      <c r="M59" s="1" t="s">
        <v>597</v>
      </c>
      <c r="N59" s="1" t="s">
        <v>488</v>
      </c>
      <c r="O59" s="2">
        <v>1.7227048383565235</v>
      </c>
      <c r="P59" s="2">
        <v>0.95349583495368473</v>
      </c>
      <c r="Q59" s="2">
        <v>1.5094416470686605</v>
      </c>
      <c r="R59" s="2">
        <v>2.0375000625541819</v>
      </c>
      <c r="S59" s="2">
        <v>1.8015906415166376</v>
      </c>
      <c r="T59" s="2">
        <v>1.4608446315884536</v>
      </c>
      <c r="U59" s="2">
        <f t="shared" si="0"/>
        <v>1.5809296093396903</v>
      </c>
      <c r="V59" s="3">
        <f t="shared" si="1"/>
        <v>0.37160520914112771</v>
      </c>
      <c r="W59" s="1" t="s">
        <v>561</v>
      </c>
    </row>
    <row r="60" spans="1:23" x14ac:dyDescent="0.3">
      <c r="A60" s="1">
        <v>59</v>
      </c>
      <c r="B60" s="1" t="s">
        <v>214</v>
      </c>
      <c r="C60" s="1">
        <v>384</v>
      </c>
      <c r="D60" s="1">
        <v>2</v>
      </c>
      <c r="E60" s="1" t="s">
        <v>215</v>
      </c>
      <c r="F60" s="1" t="s">
        <v>216</v>
      </c>
      <c r="G60" s="1" t="s">
        <v>35</v>
      </c>
      <c r="H60" s="1" t="s">
        <v>34</v>
      </c>
      <c r="I60" s="1" t="s">
        <v>572</v>
      </c>
      <c r="J60" s="1" t="s">
        <v>36</v>
      </c>
      <c r="K60" s="1" t="s">
        <v>218</v>
      </c>
      <c r="L60" s="1" t="s">
        <v>147</v>
      </c>
      <c r="M60" s="1" t="s">
        <v>598</v>
      </c>
      <c r="N60" s="1" t="s">
        <v>489</v>
      </c>
      <c r="O60" s="2">
        <v>0.29099162187131683</v>
      </c>
      <c r="P60" s="2">
        <v>0.2726699271609006</v>
      </c>
      <c r="Q60" s="2">
        <v>0.24227356753087015</v>
      </c>
      <c r="R60" s="2">
        <v>0.94570639890018204</v>
      </c>
      <c r="S60" s="2">
        <v>0.83084605808830525</v>
      </c>
      <c r="T60" s="2">
        <v>0.87496974686683893</v>
      </c>
      <c r="U60" s="2">
        <f t="shared" si="0"/>
        <v>0.57624288673640223</v>
      </c>
      <c r="V60" s="3">
        <f t="shared" si="1"/>
        <v>0.33930049534576245</v>
      </c>
      <c r="W60" s="1">
        <f>_xlfn.T.TEST(O60:T60,O61:T61,2,3)</f>
        <v>0.14343546614095942</v>
      </c>
    </row>
    <row r="61" spans="1:23" x14ac:dyDescent="0.3">
      <c r="A61" s="1">
        <v>60</v>
      </c>
      <c r="B61" s="1" t="s">
        <v>219</v>
      </c>
      <c r="C61" s="1">
        <v>384</v>
      </c>
      <c r="D61" s="1">
        <v>2</v>
      </c>
      <c r="E61" s="1" t="s">
        <v>215</v>
      </c>
      <c r="F61" s="1" t="s">
        <v>216</v>
      </c>
      <c r="G61" s="1" t="s">
        <v>35</v>
      </c>
      <c r="H61" s="1" t="s">
        <v>34</v>
      </c>
      <c r="I61" s="1" t="s">
        <v>572</v>
      </c>
      <c r="J61" s="1" t="s">
        <v>36</v>
      </c>
      <c r="K61" s="1" t="s">
        <v>218</v>
      </c>
      <c r="L61" s="1" t="s">
        <v>147</v>
      </c>
      <c r="M61" s="1" t="s">
        <v>598</v>
      </c>
      <c r="N61" s="1" t="s">
        <v>490</v>
      </c>
      <c r="O61" s="2">
        <v>0.35309774740260508</v>
      </c>
      <c r="P61" s="2">
        <v>0.18914455421635595</v>
      </c>
      <c r="Q61" s="2">
        <v>0.29232951438566773</v>
      </c>
      <c r="R61" s="2">
        <v>0.41725423886991403</v>
      </c>
      <c r="S61" s="2">
        <v>0.39349792473348905</v>
      </c>
      <c r="T61" s="2">
        <v>0.35700416558481868</v>
      </c>
      <c r="U61" s="2">
        <f t="shared" si="0"/>
        <v>0.33372135753214177</v>
      </c>
      <c r="V61" s="3">
        <f t="shared" si="1"/>
        <v>8.2564218184721247E-2</v>
      </c>
      <c r="W61" s="1" t="s">
        <v>561</v>
      </c>
    </row>
    <row r="62" spans="1:23" x14ac:dyDescent="0.3">
      <c r="A62" s="1">
        <v>61</v>
      </c>
      <c r="B62" s="1" t="s">
        <v>221</v>
      </c>
      <c r="C62" s="1">
        <v>497</v>
      </c>
      <c r="D62" s="1">
        <v>2</v>
      </c>
      <c r="E62" s="1" t="s">
        <v>222</v>
      </c>
      <c r="F62" s="1" t="s">
        <v>223</v>
      </c>
      <c r="G62" s="1" t="s">
        <v>34</v>
      </c>
      <c r="H62" s="1" t="s">
        <v>35</v>
      </c>
      <c r="I62" s="1" t="s">
        <v>573</v>
      </c>
      <c r="J62" s="1" t="s">
        <v>36</v>
      </c>
      <c r="K62" s="1" t="s">
        <v>218</v>
      </c>
      <c r="L62" s="1" t="s">
        <v>147</v>
      </c>
      <c r="M62" s="1" t="s">
        <v>598</v>
      </c>
      <c r="N62" s="1" t="s">
        <v>491</v>
      </c>
      <c r="O62" s="2">
        <v>1.7565839765454574</v>
      </c>
      <c r="P62" s="2">
        <v>1.8056134810360487</v>
      </c>
      <c r="Q62" s="2">
        <v>1.9585540751145027</v>
      </c>
      <c r="R62" s="2">
        <v>2.0566896558955969</v>
      </c>
      <c r="S62" s="2">
        <v>1.9785038821030636</v>
      </c>
      <c r="T62" s="2">
        <v>2.0619978588654448</v>
      </c>
      <c r="U62" s="2">
        <f t="shared" si="0"/>
        <v>1.9363238215933523</v>
      </c>
      <c r="V62" s="3">
        <f t="shared" si="1"/>
        <v>0.12802097048078317</v>
      </c>
      <c r="W62" s="1">
        <f>_xlfn.T.TEST(O62:T62,O63:T63,2,3)</f>
        <v>3.7255396261578317E-3</v>
      </c>
    </row>
    <row r="63" spans="1:23" x14ac:dyDescent="0.3">
      <c r="A63" s="1">
        <v>62</v>
      </c>
      <c r="B63" s="1" t="s">
        <v>225</v>
      </c>
      <c r="C63" s="1">
        <v>497</v>
      </c>
      <c r="D63" s="1">
        <v>2</v>
      </c>
      <c r="E63" s="1" t="s">
        <v>222</v>
      </c>
      <c r="F63" s="1" t="s">
        <v>223</v>
      </c>
      <c r="G63" s="1" t="s">
        <v>34</v>
      </c>
      <c r="H63" s="1" t="s">
        <v>35</v>
      </c>
      <c r="I63" s="1" t="s">
        <v>573</v>
      </c>
      <c r="J63" s="1" t="s">
        <v>36</v>
      </c>
      <c r="K63" s="1" t="s">
        <v>218</v>
      </c>
      <c r="L63" s="1" t="s">
        <v>147</v>
      </c>
      <c r="M63" s="1" t="s">
        <v>598</v>
      </c>
      <c r="N63" s="1" t="s">
        <v>492</v>
      </c>
      <c r="O63" s="2">
        <v>1.0319747787622</v>
      </c>
      <c r="P63" s="2">
        <v>0.75159868109008576</v>
      </c>
      <c r="Q63" s="2">
        <v>1.0192715709217319</v>
      </c>
      <c r="R63" s="2">
        <v>1.3712906118491137</v>
      </c>
      <c r="S63" s="2">
        <v>1.4138778835042325</v>
      </c>
      <c r="T63" s="2">
        <v>1.7732983030839948</v>
      </c>
      <c r="U63" s="2">
        <f t="shared" si="0"/>
        <v>1.2268853048685597</v>
      </c>
      <c r="V63" s="3">
        <f t="shared" si="1"/>
        <v>0.36369691563742729</v>
      </c>
      <c r="W63" s="1" t="s">
        <v>561</v>
      </c>
    </row>
    <row r="64" spans="1:23" x14ac:dyDescent="0.3">
      <c r="A64" s="1">
        <v>63</v>
      </c>
      <c r="B64" s="1" t="s">
        <v>227</v>
      </c>
      <c r="C64" s="1">
        <v>301</v>
      </c>
      <c r="D64" s="1">
        <v>1</v>
      </c>
      <c r="E64" s="1" t="s">
        <v>228</v>
      </c>
      <c r="F64" s="1">
        <v>124606986</v>
      </c>
      <c r="G64" s="1" t="s">
        <v>24</v>
      </c>
      <c r="H64" s="1" t="s">
        <v>15</v>
      </c>
      <c r="I64" s="1">
        <v>5.6000000000000001E-2</v>
      </c>
      <c r="J64" s="1" t="s">
        <v>36</v>
      </c>
      <c r="K64" s="1" t="s">
        <v>218</v>
      </c>
      <c r="L64" s="1" t="s">
        <v>147</v>
      </c>
      <c r="M64" s="1" t="s">
        <v>598</v>
      </c>
      <c r="N64" s="1" t="s">
        <v>493</v>
      </c>
      <c r="O64" s="2">
        <v>0.51220464053879755</v>
      </c>
      <c r="P64" s="2">
        <v>0.65264468920660546</v>
      </c>
      <c r="Q64" s="2">
        <v>0.90982296670752505</v>
      </c>
      <c r="R64" s="2">
        <v>1.3370002157286398</v>
      </c>
      <c r="S64" s="2">
        <v>1.153837463170134</v>
      </c>
      <c r="T64" s="2">
        <v>1.2517933295399601</v>
      </c>
      <c r="U64" s="2">
        <f t="shared" si="0"/>
        <v>0.96955055081527697</v>
      </c>
      <c r="V64" s="3">
        <f t="shared" si="1"/>
        <v>0.33520259531345059</v>
      </c>
      <c r="W64" s="1">
        <f>_xlfn.T.TEST(O64:T64,O65:T65,2,3)</f>
        <v>0.17596628390419997</v>
      </c>
    </row>
    <row r="65" spans="1:28" x14ac:dyDescent="0.3">
      <c r="A65" s="1">
        <v>64</v>
      </c>
      <c r="B65" s="1" t="s">
        <v>230</v>
      </c>
      <c r="C65" s="1">
        <v>301</v>
      </c>
      <c r="D65" s="1">
        <v>1</v>
      </c>
      <c r="E65" s="1" t="s">
        <v>228</v>
      </c>
      <c r="F65" s="1">
        <v>124606986</v>
      </c>
      <c r="G65" s="1" t="s">
        <v>24</v>
      </c>
      <c r="H65" s="1" t="s">
        <v>15</v>
      </c>
      <c r="I65" s="1">
        <v>5.6000000000000001E-2</v>
      </c>
      <c r="J65" s="1" t="s">
        <v>36</v>
      </c>
      <c r="K65" s="1" t="s">
        <v>218</v>
      </c>
      <c r="L65" s="1" t="s">
        <v>147</v>
      </c>
      <c r="M65" s="1" t="s">
        <v>598</v>
      </c>
      <c r="N65" s="1" t="s">
        <v>494</v>
      </c>
      <c r="O65" s="2">
        <v>0.46198138905941805</v>
      </c>
      <c r="P65" s="2">
        <v>0.55261711676479441</v>
      </c>
      <c r="Q65" s="2">
        <v>0.66396897847621894</v>
      </c>
      <c r="R65" s="2">
        <v>0.76786969464278221</v>
      </c>
      <c r="S65" s="2">
        <v>0.96282941627420793</v>
      </c>
      <c r="T65" s="2">
        <v>0.97441136959621111</v>
      </c>
      <c r="U65" s="2">
        <f t="shared" si="0"/>
        <v>0.73061299413560554</v>
      </c>
      <c r="V65" s="3">
        <f t="shared" si="1"/>
        <v>0.21120467454617897</v>
      </c>
      <c r="W65" s="1" t="s">
        <v>561</v>
      </c>
    </row>
    <row r="66" spans="1:28" x14ac:dyDescent="0.3">
      <c r="A66" s="1">
        <v>65</v>
      </c>
      <c r="B66" s="1" t="s">
        <v>232</v>
      </c>
      <c r="C66" s="1">
        <v>301</v>
      </c>
      <c r="D66" s="1">
        <v>1</v>
      </c>
      <c r="E66" s="1" t="s">
        <v>233</v>
      </c>
      <c r="F66" s="1">
        <v>57571888</v>
      </c>
      <c r="G66" s="1" t="s">
        <v>24</v>
      </c>
      <c r="H66" s="1" t="s">
        <v>14</v>
      </c>
      <c r="I66" s="1">
        <v>0.14000000000000001</v>
      </c>
      <c r="J66" s="1" t="s">
        <v>44</v>
      </c>
      <c r="K66" s="1" t="s">
        <v>235</v>
      </c>
      <c r="L66" s="1" t="s">
        <v>75</v>
      </c>
      <c r="M66" s="1" t="s">
        <v>599</v>
      </c>
      <c r="N66" s="1" t="s">
        <v>495</v>
      </c>
      <c r="O66" s="2">
        <v>1.8899010006461958</v>
      </c>
      <c r="P66" s="2">
        <v>2.0924638924447794</v>
      </c>
      <c r="Q66" s="2">
        <v>2.3542538251900509</v>
      </c>
      <c r="R66" s="2">
        <v>2.877241492931113</v>
      </c>
      <c r="S66" s="2">
        <v>2.6947514428143489</v>
      </c>
      <c r="T66" s="2">
        <v>2.8138259356438913</v>
      </c>
      <c r="U66" s="2">
        <f t="shared" si="0"/>
        <v>2.4537395982783963</v>
      </c>
      <c r="V66" s="3">
        <f t="shared" si="1"/>
        <v>0.4063088119130025</v>
      </c>
      <c r="W66" s="1">
        <f>_xlfn.T.TEST(O66:T66,O67:T67,2,3)</f>
        <v>0.19697122208148085</v>
      </c>
    </row>
    <row r="67" spans="1:28" x14ac:dyDescent="0.3">
      <c r="A67" s="1">
        <v>66</v>
      </c>
      <c r="B67" s="1" t="s">
        <v>236</v>
      </c>
      <c r="C67" s="1">
        <v>301</v>
      </c>
      <c r="D67" s="1">
        <v>1</v>
      </c>
      <c r="E67" s="1" t="s">
        <v>233</v>
      </c>
      <c r="F67" s="1">
        <v>57571888</v>
      </c>
      <c r="G67" s="1" t="s">
        <v>24</v>
      </c>
      <c r="H67" s="1" t="s">
        <v>14</v>
      </c>
      <c r="I67" s="1">
        <v>0.14000000000000001</v>
      </c>
      <c r="J67" s="1" t="s">
        <v>44</v>
      </c>
      <c r="K67" s="1" t="s">
        <v>235</v>
      </c>
      <c r="L67" s="1" t="s">
        <v>75</v>
      </c>
      <c r="M67" s="1" t="s">
        <v>599</v>
      </c>
      <c r="N67" s="1" t="s">
        <v>496</v>
      </c>
      <c r="O67" s="2">
        <v>2.3435382039036967</v>
      </c>
      <c r="P67" s="2">
        <v>2.2711328085391966</v>
      </c>
      <c r="Q67" s="2">
        <v>2.1801171852728043</v>
      </c>
      <c r="R67" s="2">
        <v>2.0944244380976027</v>
      </c>
      <c r="S67" s="2">
        <v>2.1394095783764229</v>
      </c>
      <c r="T67" s="2">
        <v>2.1973640135050467</v>
      </c>
      <c r="U67" s="2">
        <f t="shared" si="0"/>
        <v>2.2043310379491285</v>
      </c>
      <c r="V67" s="3">
        <f t="shared" si="1"/>
        <v>9.02997434127914E-2</v>
      </c>
      <c r="W67" s="1" t="s">
        <v>561</v>
      </c>
    </row>
    <row r="68" spans="1:28" x14ac:dyDescent="0.3">
      <c r="A68" s="1">
        <v>67</v>
      </c>
      <c r="B68" s="1" t="s">
        <v>238</v>
      </c>
      <c r="C68" s="1">
        <v>301</v>
      </c>
      <c r="D68" s="1">
        <v>1</v>
      </c>
      <c r="E68" s="1" t="s">
        <v>239</v>
      </c>
      <c r="F68" s="1">
        <v>128568530</v>
      </c>
      <c r="G68" s="1" t="s">
        <v>14</v>
      </c>
      <c r="H68" s="1" t="s">
        <v>72</v>
      </c>
      <c r="I68" s="1">
        <v>0.115</v>
      </c>
      <c r="J68" s="1" t="s">
        <v>170</v>
      </c>
      <c r="K68" s="1" t="s">
        <v>241</v>
      </c>
      <c r="L68" s="1" t="s">
        <v>173</v>
      </c>
      <c r="M68" s="1" t="s">
        <v>600</v>
      </c>
      <c r="N68" s="1" t="s">
        <v>497</v>
      </c>
      <c r="O68" s="2">
        <v>0.83775167066941691</v>
      </c>
      <c r="P68" s="2">
        <v>1.0082113565477355</v>
      </c>
      <c r="Q68" s="2">
        <v>0.93293677557531285</v>
      </c>
      <c r="R68" s="2">
        <v>1.5095578773191163</v>
      </c>
      <c r="S68" s="2">
        <v>1.2776991189351405</v>
      </c>
      <c r="T68" s="2">
        <v>1.2268050122422225</v>
      </c>
      <c r="U68" s="2">
        <f t="shared" ref="U68:U131" si="2">AVERAGE(O68:T68)</f>
        <v>1.1321603018814905</v>
      </c>
      <c r="V68" s="3">
        <f t="shared" ref="V68:V131" si="3">STDEV(O68:T68)</f>
        <v>0.25071812660046278</v>
      </c>
      <c r="W68" s="1">
        <f>_xlfn.T.TEST(O68:T68,O69:T69,2,3)</f>
        <v>4.9828288010835768E-2</v>
      </c>
    </row>
    <row r="69" spans="1:28" x14ac:dyDescent="0.3">
      <c r="A69" s="1">
        <v>68</v>
      </c>
      <c r="B69" s="1" t="s">
        <v>242</v>
      </c>
      <c r="C69" s="1">
        <v>301</v>
      </c>
      <c r="D69" s="1">
        <v>1</v>
      </c>
      <c r="E69" s="1" t="s">
        <v>239</v>
      </c>
      <c r="F69" s="1">
        <v>128568530</v>
      </c>
      <c r="G69" s="1" t="s">
        <v>14</v>
      </c>
      <c r="H69" s="1" t="s">
        <v>72</v>
      </c>
      <c r="I69" s="1">
        <v>0.115</v>
      </c>
      <c r="J69" s="1" t="s">
        <v>170</v>
      </c>
      <c r="K69" s="1" t="s">
        <v>241</v>
      </c>
      <c r="L69" s="1" t="s">
        <v>173</v>
      </c>
      <c r="M69" s="1" t="s">
        <v>600</v>
      </c>
      <c r="N69" s="1" t="s">
        <v>498</v>
      </c>
      <c r="O69" s="2">
        <v>1.5797743126465653</v>
      </c>
      <c r="P69" s="2">
        <v>1.1922409770598081</v>
      </c>
      <c r="Q69" s="2">
        <v>1.3587746370266356</v>
      </c>
      <c r="R69" s="2">
        <v>4.5964286319045407</v>
      </c>
      <c r="S69" s="2">
        <v>4.6790333191542199</v>
      </c>
      <c r="T69" s="2">
        <v>4.1834854333319598</v>
      </c>
      <c r="U69" s="2">
        <f t="shared" si="2"/>
        <v>2.9316228851872879</v>
      </c>
      <c r="V69" s="3">
        <f t="shared" si="3"/>
        <v>1.7157492145200117</v>
      </c>
      <c r="W69" s="1" t="s">
        <v>561</v>
      </c>
    </row>
    <row r="70" spans="1:28" x14ac:dyDescent="0.3">
      <c r="A70" s="1">
        <v>69</v>
      </c>
      <c r="B70" s="1" t="s">
        <v>244</v>
      </c>
      <c r="C70" s="1">
        <v>301</v>
      </c>
      <c r="D70" s="1">
        <v>1</v>
      </c>
      <c r="E70" s="1" t="s">
        <v>245</v>
      </c>
      <c r="F70" s="1">
        <v>93590965</v>
      </c>
      <c r="G70" s="1" t="s">
        <v>15</v>
      </c>
      <c r="H70" s="1" t="s">
        <v>24</v>
      </c>
      <c r="I70" s="1">
        <v>0.48299999999999998</v>
      </c>
      <c r="J70" s="1" t="s">
        <v>36</v>
      </c>
      <c r="K70" s="1" t="s">
        <v>247</v>
      </c>
      <c r="L70" s="1" t="s">
        <v>75</v>
      </c>
      <c r="M70" s="1" t="s">
        <v>601</v>
      </c>
      <c r="N70" s="1" t="s">
        <v>499</v>
      </c>
      <c r="O70" s="2">
        <v>1.2409801179963766</v>
      </c>
      <c r="P70" s="2">
        <v>0.75426875954898476</v>
      </c>
      <c r="Q70" s="2">
        <v>0.66403832249485872</v>
      </c>
      <c r="R70" s="2">
        <v>0.9656355963582216</v>
      </c>
      <c r="S70" s="2">
        <v>0.93056198447065397</v>
      </c>
      <c r="T70" s="2">
        <v>0.98330559102254567</v>
      </c>
      <c r="U70" s="2">
        <f t="shared" si="2"/>
        <v>0.92313172864860693</v>
      </c>
      <c r="V70" s="3">
        <f t="shared" si="3"/>
        <v>0.20107430230704179</v>
      </c>
      <c r="W70" s="1">
        <f>_xlfn.T.TEST(O70:T70,O71:T71,2,3)</f>
        <v>6.6619069263674007E-3</v>
      </c>
    </row>
    <row r="71" spans="1:28" x14ac:dyDescent="0.3">
      <c r="A71" s="1">
        <v>70</v>
      </c>
      <c r="B71" s="1" t="s">
        <v>248</v>
      </c>
      <c r="C71" s="1">
        <v>301</v>
      </c>
      <c r="D71" s="1">
        <v>1</v>
      </c>
      <c r="E71" s="1" t="s">
        <v>245</v>
      </c>
      <c r="F71" s="1">
        <v>93590965</v>
      </c>
      <c r="G71" s="1" t="s">
        <v>15</v>
      </c>
      <c r="H71" s="1" t="s">
        <v>24</v>
      </c>
      <c r="I71" s="1">
        <v>0.48299999999999998</v>
      </c>
      <c r="J71" s="1" t="s">
        <v>36</v>
      </c>
      <c r="K71" s="1" t="s">
        <v>247</v>
      </c>
      <c r="L71" s="1" t="s">
        <v>75</v>
      </c>
      <c r="M71" s="1" t="s">
        <v>601</v>
      </c>
      <c r="N71" s="1" t="s">
        <v>500</v>
      </c>
      <c r="O71" s="2">
        <v>0.57554853957348906</v>
      </c>
      <c r="P71" s="2">
        <v>0.47132445796058364</v>
      </c>
      <c r="Q71" s="2">
        <v>0.6336385612345834</v>
      </c>
      <c r="R71" s="2">
        <v>0.60620400983330258</v>
      </c>
      <c r="S71" s="2">
        <v>0.5581437266523569</v>
      </c>
      <c r="T71" s="2">
        <v>0.57957161609585628</v>
      </c>
      <c r="U71" s="2">
        <f t="shared" si="2"/>
        <v>0.57073848522502857</v>
      </c>
      <c r="V71" s="3">
        <f t="shared" si="3"/>
        <v>5.5420502671852161E-2</v>
      </c>
      <c r="W71" s="1" t="s">
        <v>561</v>
      </c>
    </row>
    <row r="72" spans="1:28" x14ac:dyDescent="0.3">
      <c r="A72" s="1">
        <v>71</v>
      </c>
      <c r="B72" s="1" t="s">
        <v>250</v>
      </c>
      <c r="C72" s="1">
        <v>301</v>
      </c>
      <c r="D72" s="1">
        <v>1</v>
      </c>
      <c r="E72" s="1" t="s">
        <v>251</v>
      </c>
      <c r="F72" s="1">
        <v>96192843</v>
      </c>
      <c r="G72" s="1" t="s">
        <v>14</v>
      </c>
      <c r="H72" s="1" t="s">
        <v>72</v>
      </c>
      <c r="I72" s="1">
        <v>0.215</v>
      </c>
      <c r="J72" s="1" t="s">
        <v>36</v>
      </c>
      <c r="K72" s="1" t="s">
        <v>253</v>
      </c>
      <c r="L72" s="1" t="s">
        <v>188</v>
      </c>
      <c r="M72" s="1" t="s">
        <v>602</v>
      </c>
      <c r="N72" s="1" t="s">
        <v>501</v>
      </c>
      <c r="O72" s="2">
        <v>0.49211818404707997</v>
      </c>
      <c r="P72" s="2">
        <v>0.71879792037425516</v>
      </c>
      <c r="Q72" s="2">
        <v>0.62114220909886653</v>
      </c>
      <c r="R72" s="2">
        <v>23.419473262364104</v>
      </c>
      <c r="S72" s="2">
        <v>37.740440361823687</v>
      </c>
      <c r="T72" s="2">
        <v>33.096386174216136</v>
      </c>
      <c r="U72" s="2">
        <f t="shared" si="2"/>
        <v>16.014726351987353</v>
      </c>
      <c r="V72" s="3">
        <f t="shared" si="3"/>
        <v>17.495709485533318</v>
      </c>
      <c r="W72" s="1">
        <f>_xlfn.T.TEST(O72:T72,O73:T73,2,3)</f>
        <v>0.43649567942049083</v>
      </c>
    </row>
    <row r="73" spans="1:28" x14ac:dyDescent="0.3">
      <c r="A73" s="1">
        <v>72</v>
      </c>
      <c r="B73" s="1" t="s">
        <v>254</v>
      </c>
      <c r="C73" s="1">
        <v>301</v>
      </c>
      <c r="D73" s="1">
        <v>1</v>
      </c>
      <c r="E73" s="1" t="s">
        <v>251</v>
      </c>
      <c r="F73" s="1">
        <v>96192843</v>
      </c>
      <c r="G73" s="1" t="s">
        <v>14</v>
      </c>
      <c r="H73" s="1" t="s">
        <v>72</v>
      </c>
      <c r="I73" s="1">
        <v>0.215</v>
      </c>
      <c r="J73" s="1" t="s">
        <v>36</v>
      </c>
      <c r="K73" s="1" t="s">
        <v>253</v>
      </c>
      <c r="L73" s="1" t="s">
        <v>188</v>
      </c>
      <c r="M73" s="1" t="s">
        <v>602</v>
      </c>
      <c r="N73" s="1" t="s">
        <v>502</v>
      </c>
      <c r="O73" s="2">
        <v>0.54459673986195056</v>
      </c>
      <c r="P73" s="2">
        <v>0.81895110459142761</v>
      </c>
      <c r="Q73" s="2">
        <v>1.0658334815146127</v>
      </c>
      <c r="R73" s="2">
        <v>43.499584483565599</v>
      </c>
      <c r="S73" s="2">
        <v>67.275451647983616</v>
      </c>
      <c r="T73" s="2">
        <v>53.407823171488872</v>
      </c>
      <c r="U73" s="2">
        <f t="shared" si="2"/>
        <v>27.768706771501012</v>
      </c>
      <c r="V73" s="3">
        <f t="shared" si="3"/>
        <v>30.483085911900478</v>
      </c>
      <c r="W73" s="1" t="s">
        <v>561</v>
      </c>
    </row>
    <row r="74" spans="1:28" x14ac:dyDescent="0.3">
      <c r="A74" s="1">
        <v>73</v>
      </c>
      <c r="B74" s="1" t="s">
        <v>256</v>
      </c>
      <c r="C74" s="1">
        <v>301</v>
      </c>
      <c r="D74" s="1">
        <v>1</v>
      </c>
      <c r="E74" s="1" t="s">
        <v>257</v>
      </c>
      <c r="F74" s="1">
        <v>96198310</v>
      </c>
      <c r="G74" s="1" t="s">
        <v>14</v>
      </c>
      <c r="H74" s="1" t="s">
        <v>15</v>
      </c>
      <c r="I74" s="1">
        <v>0.123</v>
      </c>
      <c r="J74" s="1" t="s">
        <v>36</v>
      </c>
      <c r="K74" s="1" t="s">
        <v>259</v>
      </c>
      <c r="L74" s="1" t="s">
        <v>39</v>
      </c>
      <c r="M74" s="1" t="s">
        <v>602</v>
      </c>
      <c r="N74" s="1" t="s">
        <v>503</v>
      </c>
      <c r="O74" s="2">
        <v>1.2316624550733863</v>
      </c>
      <c r="P74" s="2">
        <v>0.98285981373318898</v>
      </c>
      <c r="Q74" s="2">
        <v>1.2697816227112007</v>
      </c>
      <c r="R74" s="2">
        <v>29.376342768122225</v>
      </c>
      <c r="S74" s="2">
        <v>46.965881339158365</v>
      </c>
      <c r="T74" s="2">
        <v>45.696533194856791</v>
      </c>
      <c r="U74" s="2">
        <f t="shared" si="2"/>
        <v>20.920510198942523</v>
      </c>
      <c r="V74" s="3">
        <f t="shared" si="3"/>
        <v>22.516773923919366</v>
      </c>
      <c r="W74" s="1">
        <f>_xlfn.T.TEST(O74:T74,O75:T75,2,3)</f>
        <v>0.89500582190486599</v>
      </c>
    </row>
    <row r="75" spans="1:28" x14ac:dyDescent="0.3">
      <c r="A75" s="1">
        <v>74</v>
      </c>
      <c r="B75" s="1" t="s">
        <v>260</v>
      </c>
      <c r="C75" s="1">
        <v>301</v>
      </c>
      <c r="D75" s="1">
        <v>1</v>
      </c>
      <c r="E75" s="1" t="s">
        <v>257</v>
      </c>
      <c r="F75" s="1">
        <v>96198310</v>
      </c>
      <c r="G75" s="1" t="s">
        <v>14</v>
      </c>
      <c r="H75" s="1" t="s">
        <v>15</v>
      </c>
      <c r="I75" s="1">
        <v>0.123</v>
      </c>
      <c r="J75" s="1" t="s">
        <v>36</v>
      </c>
      <c r="K75" s="1" t="s">
        <v>259</v>
      </c>
      <c r="L75" s="1" t="s">
        <v>39</v>
      </c>
      <c r="M75" s="1" t="s">
        <v>602</v>
      </c>
      <c r="N75" s="1" t="s">
        <v>504</v>
      </c>
      <c r="O75" s="2">
        <v>0.90780099057195374</v>
      </c>
      <c r="P75" s="2">
        <v>0.89957087406455472</v>
      </c>
      <c r="Q75" s="2">
        <v>1.0610548163356552</v>
      </c>
      <c r="R75" s="2">
        <v>33.701193231206886</v>
      </c>
      <c r="S75" s="2">
        <v>39.984466545499693</v>
      </c>
      <c r="T75" s="2">
        <v>38.945908972889313</v>
      </c>
      <c r="U75" s="2">
        <f t="shared" si="2"/>
        <v>19.249999238428011</v>
      </c>
      <c r="V75" s="3">
        <f t="shared" si="3"/>
        <v>20.152896365050129</v>
      </c>
      <c r="W75" s="1" t="s">
        <v>561</v>
      </c>
    </row>
    <row r="76" spans="1:28" x14ac:dyDescent="0.3">
      <c r="A76" s="1">
        <v>75</v>
      </c>
      <c r="B76" s="1" t="s">
        <v>262</v>
      </c>
      <c r="C76" s="1">
        <v>301</v>
      </c>
      <c r="D76" s="1">
        <v>1</v>
      </c>
      <c r="E76" s="1" t="s">
        <v>263</v>
      </c>
      <c r="F76" s="1">
        <v>96204171</v>
      </c>
      <c r="G76" s="1" t="s">
        <v>72</v>
      </c>
      <c r="H76" s="1" t="s">
        <v>24</v>
      </c>
      <c r="I76" s="1">
        <v>9.2999999999999999E-2</v>
      </c>
      <c r="J76" s="1" t="s">
        <v>36</v>
      </c>
      <c r="K76" s="1" t="s">
        <v>259</v>
      </c>
      <c r="L76" s="1" t="s">
        <v>19</v>
      </c>
      <c r="M76" s="1" t="s">
        <v>602</v>
      </c>
      <c r="N76" s="1" t="s">
        <v>505</v>
      </c>
      <c r="O76" s="2">
        <v>0.67823859858725666</v>
      </c>
      <c r="P76" s="2">
        <v>0.67358017825030725</v>
      </c>
      <c r="Q76" s="2">
        <v>1.1482757627765199</v>
      </c>
      <c r="R76" s="2">
        <v>0.74833565478356234</v>
      </c>
      <c r="S76" s="2">
        <v>0.77571275485096403</v>
      </c>
      <c r="T76" s="2">
        <v>0.8446414343660873</v>
      </c>
      <c r="U76" s="2">
        <f t="shared" si="2"/>
        <v>0.81146406393578296</v>
      </c>
      <c r="V76" s="3">
        <f t="shared" si="3"/>
        <v>0.17695604034735671</v>
      </c>
      <c r="W76" s="1">
        <f>_xlfn.T.TEST(O76:T76,O77:T77,2,3)</f>
        <v>0.47530716455527544</v>
      </c>
    </row>
    <row r="77" spans="1:28" x14ac:dyDescent="0.3">
      <c r="A77" s="1">
        <v>76</v>
      </c>
      <c r="B77" s="1" t="s">
        <v>265</v>
      </c>
      <c r="C77" s="1">
        <v>301</v>
      </c>
      <c r="D77" s="1">
        <v>1</v>
      </c>
      <c r="E77" s="1" t="s">
        <v>263</v>
      </c>
      <c r="F77" s="1">
        <v>96204171</v>
      </c>
      <c r="G77" s="1" t="s">
        <v>72</v>
      </c>
      <c r="H77" s="1" t="s">
        <v>24</v>
      </c>
      <c r="I77" s="1">
        <v>9.2999999999999999E-2</v>
      </c>
      <c r="J77" s="1" t="s">
        <v>36</v>
      </c>
      <c r="K77" s="1" t="s">
        <v>259</v>
      </c>
      <c r="L77" s="1" t="s">
        <v>19</v>
      </c>
      <c r="M77" s="1" t="s">
        <v>602</v>
      </c>
      <c r="N77" s="1" t="s">
        <v>506</v>
      </c>
      <c r="O77" s="2">
        <v>0.93482531155825888</v>
      </c>
      <c r="P77" s="2">
        <v>1.0118715144985315</v>
      </c>
      <c r="Q77" s="2">
        <v>1.0024469088254175</v>
      </c>
      <c r="R77" s="2">
        <v>0.74095204177981233</v>
      </c>
      <c r="S77" s="2">
        <v>0.74354152248322336</v>
      </c>
      <c r="T77" s="2">
        <v>0.82875967010761487</v>
      </c>
      <c r="U77" s="2">
        <f t="shared" si="2"/>
        <v>0.87706616154214301</v>
      </c>
      <c r="V77" s="3">
        <f t="shared" si="3"/>
        <v>0.12322202265406619</v>
      </c>
      <c r="W77" s="1" t="s">
        <v>561</v>
      </c>
    </row>
    <row r="78" spans="1:28" x14ac:dyDescent="0.3">
      <c r="A78" s="1">
        <v>77</v>
      </c>
      <c r="B78" s="1" t="s">
        <v>267</v>
      </c>
      <c r="C78" s="1">
        <v>301</v>
      </c>
      <c r="D78" s="1">
        <v>1</v>
      </c>
      <c r="E78" s="1" t="s">
        <v>268</v>
      </c>
      <c r="F78" s="1">
        <v>96208442</v>
      </c>
      <c r="G78" s="1" t="s">
        <v>72</v>
      </c>
      <c r="H78" s="1" t="s">
        <v>15</v>
      </c>
      <c r="I78" s="1">
        <v>0.13200000000000001</v>
      </c>
      <c r="J78" s="1" t="s">
        <v>36</v>
      </c>
      <c r="K78" s="1" t="s">
        <v>259</v>
      </c>
      <c r="L78" s="1" t="s">
        <v>39</v>
      </c>
      <c r="M78" s="1" t="s">
        <v>602</v>
      </c>
      <c r="N78" s="1" t="s">
        <v>507</v>
      </c>
      <c r="O78" s="2">
        <v>3.5936154528036135</v>
      </c>
      <c r="P78" s="2">
        <v>3.5993715301447762</v>
      </c>
      <c r="Q78" s="2">
        <v>3.7739177744015722</v>
      </c>
      <c r="R78" s="2">
        <v>2.9098426481869861</v>
      </c>
      <c r="S78" s="2">
        <v>2.8998497355174115</v>
      </c>
      <c r="T78" s="2">
        <v>3.1703336427053759</v>
      </c>
      <c r="U78" s="2">
        <f t="shared" si="2"/>
        <v>3.3244884639599559</v>
      </c>
      <c r="V78" s="3">
        <f t="shared" si="3"/>
        <v>0.38104846212276278</v>
      </c>
      <c r="W78" s="1">
        <f>_xlfn.T.TEST(O78:T78,O79:T79,2,3)</f>
        <v>3.2910829441581599E-4</v>
      </c>
    </row>
    <row r="79" spans="1:28" x14ac:dyDescent="0.3">
      <c r="A79" s="1">
        <v>78</v>
      </c>
      <c r="B79" s="1" t="s">
        <v>270</v>
      </c>
      <c r="C79" s="1">
        <v>301</v>
      </c>
      <c r="D79" s="1">
        <v>1</v>
      </c>
      <c r="E79" s="1" t="s">
        <v>268</v>
      </c>
      <c r="F79" s="1">
        <v>96208442</v>
      </c>
      <c r="G79" s="1" t="s">
        <v>72</v>
      </c>
      <c r="H79" s="1" t="s">
        <v>15</v>
      </c>
      <c r="I79" s="1">
        <v>0.13200000000000001</v>
      </c>
      <c r="J79" s="1" t="s">
        <v>36</v>
      </c>
      <c r="K79" s="1" t="s">
        <v>259</v>
      </c>
      <c r="L79" s="1" t="s">
        <v>39</v>
      </c>
      <c r="M79" s="1" t="s">
        <v>602</v>
      </c>
      <c r="N79" s="1" t="s">
        <v>508</v>
      </c>
      <c r="O79" s="2">
        <v>2.1696463235130601</v>
      </c>
      <c r="P79" s="2">
        <v>2.1004022919115792</v>
      </c>
      <c r="Q79" s="2">
        <v>2.7350414459539634</v>
      </c>
      <c r="R79" s="2">
        <v>1.8860597427122496</v>
      </c>
      <c r="S79" s="2">
        <v>2.085568520811778</v>
      </c>
      <c r="T79" s="2">
        <v>2.4519643012513592</v>
      </c>
      <c r="U79" s="2">
        <f t="shared" si="2"/>
        <v>2.2381137710256649</v>
      </c>
      <c r="V79" s="3">
        <f t="shared" si="3"/>
        <v>0.304477749088717</v>
      </c>
      <c r="W79" s="1" t="s">
        <v>561</v>
      </c>
    </row>
    <row r="80" spans="1:28" ht="15.6" x14ac:dyDescent="0.3">
      <c r="A80" s="1">
        <v>79</v>
      </c>
      <c r="B80" s="1" t="s">
        <v>272</v>
      </c>
      <c r="C80" s="1">
        <v>301</v>
      </c>
      <c r="D80" s="1">
        <v>1</v>
      </c>
      <c r="E80" s="1" t="s">
        <v>273</v>
      </c>
      <c r="F80" s="1">
        <v>96213111</v>
      </c>
      <c r="G80" s="1" t="s">
        <v>14</v>
      </c>
      <c r="H80" s="1" t="s">
        <v>72</v>
      </c>
      <c r="I80" s="1">
        <v>0.13400000000000001</v>
      </c>
      <c r="J80" s="1" t="s">
        <v>36</v>
      </c>
      <c r="K80" s="1" t="s">
        <v>275</v>
      </c>
      <c r="L80" s="1" t="s">
        <v>173</v>
      </c>
      <c r="M80" s="1" t="s">
        <v>602</v>
      </c>
      <c r="N80" s="1" t="s">
        <v>509</v>
      </c>
      <c r="O80" s="2">
        <v>2.3978494472871987</v>
      </c>
      <c r="P80" s="2">
        <v>2.2206455707679753</v>
      </c>
      <c r="Q80" s="2">
        <v>2.0930688866439726</v>
      </c>
      <c r="R80" s="2">
        <v>3.8081558843301702</v>
      </c>
      <c r="S80" s="2">
        <v>3.7477089655312792</v>
      </c>
      <c r="T80" s="2">
        <v>3.6884566498707052</v>
      </c>
      <c r="U80" s="2">
        <f t="shared" si="2"/>
        <v>2.9926475674052164</v>
      </c>
      <c r="V80" s="3">
        <f t="shared" si="3"/>
        <v>0.83406660388044318</v>
      </c>
      <c r="W80" s="1">
        <f>_xlfn.T.TEST(O80:T80,O81:T81,2,3)</f>
        <v>3.7401258037612628E-3</v>
      </c>
      <c r="AB80" s="7"/>
    </row>
    <row r="81" spans="1:23" x14ac:dyDescent="0.3">
      <c r="A81" s="1">
        <v>80</v>
      </c>
      <c r="B81" s="1" t="s">
        <v>276</v>
      </c>
      <c r="C81" s="1">
        <v>301</v>
      </c>
      <c r="D81" s="1">
        <v>1</v>
      </c>
      <c r="E81" s="1" t="s">
        <v>273</v>
      </c>
      <c r="F81" s="1">
        <v>96213111</v>
      </c>
      <c r="G81" s="1" t="s">
        <v>14</v>
      </c>
      <c r="H81" s="1" t="s">
        <v>72</v>
      </c>
      <c r="I81" s="1">
        <v>0.13400000000000001</v>
      </c>
      <c r="J81" s="1" t="s">
        <v>36</v>
      </c>
      <c r="K81" s="1" t="s">
        <v>275</v>
      </c>
      <c r="L81" s="1" t="s">
        <v>173</v>
      </c>
      <c r="M81" s="1" t="s">
        <v>602</v>
      </c>
      <c r="N81" s="1" t="s">
        <v>510</v>
      </c>
      <c r="O81" s="2">
        <v>1.3749015955986081</v>
      </c>
      <c r="P81" s="2">
        <v>1.0183535892790441</v>
      </c>
      <c r="Q81" s="2">
        <v>1.1076440126868443</v>
      </c>
      <c r="R81" s="2">
        <v>1.4513854721057498</v>
      </c>
      <c r="S81" s="2">
        <v>1.5066285177568337</v>
      </c>
      <c r="T81" s="2">
        <v>1.4891817652015475</v>
      </c>
      <c r="U81" s="2">
        <f t="shared" si="2"/>
        <v>1.3246824921047715</v>
      </c>
      <c r="V81" s="3">
        <f t="shared" si="3"/>
        <v>0.20961062418267687</v>
      </c>
      <c r="W81" s="1" t="s">
        <v>561</v>
      </c>
    </row>
    <row r="82" spans="1:23" x14ac:dyDescent="0.3">
      <c r="A82" s="1">
        <v>81</v>
      </c>
      <c r="B82" s="1" t="s">
        <v>278</v>
      </c>
      <c r="C82" s="1">
        <v>301</v>
      </c>
      <c r="D82" s="1">
        <v>1</v>
      </c>
      <c r="E82" s="1" t="s">
        <v>279</v>
      </c>
      <c r="F82" s="1">
        <v>103928436</v>
      </c>
      <c r="G82" s="1" t="s">
        <v>24</v>
      </c>
      <c r="H82" s="1" t="s">
        <v>15</v>
      </c>
      <c r="I82" s="1">
        <v>0.29899999999999999</v>
      </c>
      <c r="J82" s="1" t="s">
        <v>16</v>
      </c>
      <c r="K82" s="1" t="s">
        <v>281</v>
      </c>
      <c r="L82" s="1" t="s">
        <v>54</v>
      </c>
      <c r="M82" s="1" t="s">
        <v>603</v>
      </c>
      <c r="N82" s="1" t="s">
        <v>511</v>
      </c>
      <c r="O82" s="2">
        <v>0.71085743010422164</v>
      </c>
      <c r="P82" s="2">
        <v>0.68052476989443966</v>
      </c>
      <c r="Q82" s="2">
        <v>0.6587975580428953</v>
      </c>
      <c r="R82" s="2">
        <v>25.844590398663755</v>
      </c>
      <c r="S82" s="2">
        <v>17.429536432997143</v>
      </c>
      <c r="T82" s="2">
        <v>19.011105479695033</v>
      </c>
      <c r="U82" s="2">
        <f t="shared" si="2"/>
        <v>10.722568678232916</v>
      </c>
      <c r="V82" s="3">
        <f t="shared" si="3"/>
        <v>11.355309743184428</v>
      </c>
      <c r="W82" s="1">
        <f>_xlfn.T.TEST(O82:T82,O83:T83,2,3)</f>
        <v>9.6546942541938741E-2</v>
      </c>
    </row>
    <row r="83" spans="1:23" x14ac:dyDescent="0.3">
      <c r="A83" s="1">
        <v>82</v>
      </c>
      <c r="B83" s="1" t="s">
        <v>282</v>
      </c>
      <c r="C83" s="1">
        <v>301</v>
      </c>
      <c r="D83" s="1">
        <v>1</v>
      </c>
      <c r="E83" s="1" t="s">
        <v>279</v>
      </c>
      <c r="F83" s="1">
        <v>103928436</v>
      </c>
      <c r="G83" s="1" t="s">
        <v>24</v>
      </c>
      <c r="H83" s="1" t="s">
        <v>15</v>
      </c>
      <c r="I83" s="1">
        <v>0.29899999999999999</v>
      </c>
      <c r="J83" s="1" t="s">
        <v>16</v>
      </c>
      <c r="K83" s="1" t="s">
        <v>281</v>
      </c>
      <c r="L83" s="1" t="s">
        <v>54</v>
      </c>
      <c r="M83" s="1" t="s">
        <v>603</v>
      </c>
      <c r="N83" s="1" t="s">
        <v>512</v>
      </c>
      <c r="O83" s="2">
        <v>1.1888240647257555</v>
      </c>
      <c r="P83" s="2">
        <v>1.0526888827106748</v>
      </c>
      <c r="Q83" s="2">
        <v>1.4658119845683211</v>
      </c>
      <c r="R83" s="2">
        <v>1.2543984554050975</v>
      </c>
      <c r="S83" s="2">
        <v>1.2787153994578677</v>
      </c>
      <c r="T83" s="2">
        <v>1.2798893450265711</v>
      </c>
      <c r="U83" s="2">
        <f t="shared" si="2"/>
        <v>1.2533880219823814</v>
      </c>
      <c r="V83" s="3">
        <f t="shared" si="3"/>
        <v>0.13484613906992815</v>
      </c>
      <c r="W83" s="1" t="s">
        <v>561</v>
      </c>
    </row>
    <row r="84" spans="1:23" x14ac:dyDescent="0.3">
      <c r="A84" s="1">
        <v>83</v>
      </c>
      <c r="B84" s="1" t="s">
        <v>284</v>
      </c>
      <c r="C84" s="1">
        <v>301</v>
      </c>
      <c r="D84" s="1">
        <v>1</v>
      </c>
      <c r="E84" s="1" t="s">
        <v>285</v>
      </c>
      <c r="F84" s="1">
        <v>103965276</v>
      </c>
      <c r="G84" s="1" t="s">
        <v>24</v>
      </c>
      <c r="H84" s="1" t="s">
        <v>15</v>
      </c>
      <c r="I84" s="1">
        <v>0.35599999999999998</v>
      </c>
      <c r="J84" s="1" t="s">
        <v>16</v>
      </c>
      <c r="K84" s="1" t="s">
        <v>281</v>
      </c>
      <c r="L84" s="1" t="s">
        <v>54</v>
      </c>
      <c r="M84" s="1" t="s">
        <v>603</v>
      </c>
      <c r="N84" s="1" t="s">
        <v>513</v>
      </c>
      <c r="O84" s="2">
        <v>1.5298986480796803</v>
      </c>
      <c r="P84" s="2">
        <v>1.1572251917293512</v>
      </c>
      <c r="Q84" s="2">
        <v>1.455796071583555</v>
      </c>
      <c r="R84" s="2">
        <v>1.463961459435561</v>
      </c>
      <c r="S84" s="2">
        <v>1.2039488924406117</v>
      </c>
      <c r="T84" s="2">
        <v>1.2287170718020912</v>
      </c>
      <c r="U84" s="2">
        <f t="shared" si="2"/>
        <v>1.339924555845142</v>
      </c>
      <c r="V84" s="3">
        <f t="shared" si="3"/>
        <v>0.16070909154491061</v>
      </c>
      <c r="W84" s="1">
        <f>_xlfn.T.TEST(O84:T84,O85:T85,2,3)</f>
        <v>0.14521657721213685</v>
      </c>
    </row>
    <row r="85" spans="1:23" x14ac:dyDescent="0.3">
      <c r="A85" s="1">
        <v>84</v>
      </c>
      <c r="B85" s="1" t="s">
        <v>287</v>
      </c>
      <c r="C85" s="1">
        <v>301</v>
      </c>
      <c r="D85" s="1">
        <v>1</v>
      </c>
      <c r="E85" s="1" t="s">
        <v>285</v>
      </c>
      <c r="F85" s="1">
        <v>103965276</v>
      </c>
      <c r="G85" s="1" t="s">
        <v>24</v>
      </c>
      <c r="H85" s="1" t="s">
        <v>15</v>
      </c>
      <c r="I85" s="1">
        <v>0.35599999999999998</v>
      </c>
      <c r="J85" s="1" t="s">
        <v>16</v>
      </c>
      <c r="K85" s="1" t="s">
        <v>281</v>
      </c>
      <c r="L85" s="1" t="s">
        <v>54</v>
      </c>
      <c r="M85" s="1" t="s">
        <v>603</v>
      </c>
      <c r="N85" s="1" t="s">
        <v>514</v>
      </c>
      <c r="O85" s="2">
        <v>1.2928461703892593</v>
      </c>
      <c r="P85" s="2">
        <v>0.9306068733225954</v>
      </c>
      <c r="Q85" s="2">
        <v>1.3254167816426949</v>
      </c>
      <c r="R85" s="2">
        <v>1.3460235626640469</v>
      </c>
      <c r="S85" s="2">
        <v>1.1338631498824074</v>
      </c>
      <c r="T85" s="2">
        <v>1.1356693834943268</v>
      </c>
      <c r="U85" s="2">
        <f t="shared" si="2"/>
        <v>1.1940709868992219</v>
      </c>
      <c r="V85" s="3">
        <f t="shared" si="3"/>
        <v>0.1590892265447752</v>
      </c>
      <c r="W85" s="1" t="s">
        <v>561</v>
      </c>
    </row>
    <row r="86" spans="1:23" x14ac:dyDescent="0.3">
      <c r="A86" s="1">
        <v>85</v>
      </c>
      <c r="B86" s="1" t="s">
        <v>289</v>
      </c>
      <c r="C86" s="1">
        <v>301</v>
      </c>
      <c r="D86" s="1">
        <v>1</v>
      </c>
      <c r="E86" s="1" t="s">
        <v>290</v>
      </c>
      <c r="F86" s="1">
        <v>116662408</v>
      </c>
      <c r="G86" s="1" t="s">
        <v>14</v>
      </c>
      <c r="H86" s="1" t="s">
        <v>72</v>
      </c>
      <c r="I86" s="1">
        <v>0.10100000000000001</v>
      </c>
      <c r="J86" s="1" t="s">
        <v>36</v>
      </c>
      <c r="K86" s="1" t="s">
        <v>292</v>
      </c>
      <c r="L86" s="1" t="s">
        <v>47</v>
      </c>
      <c r="M86" s="1" t="s">
        <v>604</v>
      </c>
      <c r="N86" s="1" t="s">
        <v>515</v>
      </c>
      <c r="O86" s="2">
        <v>0.58311205523101428</v>
      </c>
      <c r="P86" s="2">
        <v>0.78398997881223031</v>
      </c>
      <c r="Q86" s="2">
        <v>0.89604750934527599</v>
      </c>
      <c r="R86" s="2">
        <v>0.64072093576247102</v>
      </c>
      <c r="S86" s="2">
        <v>0.58448673549341457</v>
      </c>
      <c r="T86" s="2">
        <v>0.56042170621521614</v>
      </c>
      <c r="U86" s="2">
        <f t="shared" si="2"/>
        <v>0.67479648680993709</v>
      </c>
      <c r="V86" s="3">
        <f t="shared" si="3"/>
        <v>0.13541037881984444</v>
      </c>
      <c r="W86" s="1">
        <f>_xlfn.T.TEST(O86:T86,O87:T87,2,3)</f>
        <v>4.9170649432713244E-2</v>
      </c>
    </row>
    <row r="87" spans="1:23" x14ac:dyDescent="0.3">
      <c r="A87" s="1">
        <v>86</v>
      </c>
      <c r="B87" s="1" t="s">
        <v>293</v>
      </c>
      <c r="C87" s="1">
        <v>301</v>
      </c>
      <c r="D87" s="1">
        <v>1</v>
      </c>
      <c r="E87" s="1" t="s">
        <v>290</v>
      </c>
      <c r="F87" s="1">
        <v>116662408</v>
      </c>
      <c r="G87" s="1" t="s">
        <v>14</v>
      </c>
      <c r="H87" s="1" t="s">
        <v>72</v>
      </c>
      <c r="I87" s="1">
        <v>0.10100000000000001</v>
      </c>
      <c r="J87" s="1" t="s">
        <v>36</v>
      </c>
      <c r="K87" s="1" t="s">
        <v>292</v>
      </c>
      <c r="L87" s="1" t="s">
        <v>47</v>
      </c>
      <c r="M87" s="1" t="s">
        <v>604</v>
      </c>
      <c r="N87" s="1" t="s">
        <v>516</v>
      </c>
      <c r="O87" s="2">
        <v>0.79089651021379781</v>
      </c>
      <c r="P87" s="2">
        <v>1.0155317455923705</v>
      </c>
      <c r="Q87" s="2">
        <v>0.83135157467486165</v>
      </c>
      <c r="R87" s="2">
        <v>0.90468075431884887</v>
      </c>
      <c r="S87" s="2">
        <v>0.8107252379028872</v>
      </c>
      <c r="T87" s="2">
        <v>0.67309185411980843</v>
      </c>
      <c r="U87" s="2">
        <f t="shared" si="2"/>
        <v>0.83771294613709568</v>
      </c>
      <c r="V87" s="3">
        <f t="shared" si="3"/>
        <v>0.11503468939804455</v>
      </c>
      <c r="W87" s="1" t="s">
        <v>561</v>
      </c>
    </row>
    <row r="88" spans="1:23" x14ac:dyDescent="0.3">
      <c r="A88" s="1">
        <v>87</v>
      </c>
      <c r="B88" s="1" t="s">
        <v>295</v>
      </c>
      <c r="C88" s="1">
        <v>326</v>
      </c>
      <c r="D88" s="1">
        <v>2</v>
      </c>
      <c r="E88" s="1" t="s">
        <v>296</v>
      </c>
      <c r="F88" s="1" t="s">
        <v>297</v>
      </c>
      <c r="G88" s="1" t="s">
        <v>34</v>
      </c>
      <c r="H88" s="1" t="s">
        <v>35</v>
      </c>
      <c r="I88" s="1" t="s">
        <v>574</v>
      </c>
      <c r="J88" s="1" t="s">
        <v>36</v>
      </c>
      <c r="K88" s="1" t="s">
        <v>292</v>
      </c>
      <c r="L88" s="1" t="s">
        <v>118</v>
      </c>
      <c r="M88" s="1" t="s">
        <v>604</v>
      </c>
      <c r="N88" s="1" t="s">
        <v>517</v>
      </c>
      <c r="O88" s="2">
        <v>4.4022350534409167</v>
      </c>
      <c r="P88" s="2">
        <v>5.2596265630280499</v>
      </c>
      <c r="Q88" s="2">
        <v>4.1130864141218328</v>
      </c>
      <c r="R88" s="2">
        <v>4.3867875130131795</v>
      </c>
      <c r="S88" s="2">
        <v>4.9214528139057618</v>
      </c>
      <c r="T88" s="2">
        <v>4.4318199460457537</v>
      </c>
      <c r="U88" s="2">
        <f t="shared" si="2"/>
        <v>4.5858347172592486</v>
      </c>
      <c r="V88" s="3">
        <f t="shared" si="3"/>
        <v>0.42123036266745734</v>
      </c>
      <c r="W88" s="1">
        <f>_xlfn.T.TEST(O88:T88,O89:T89,2,3)</f>
        <v>4.2492640547812752E-2</v>
      </c>
    </row>
    <row r="89" spans="1:23" x14ac:dyDescent="0.3">
      <c r="A89" s="1">
        <v>88</v>
      </c>
      <c r="B89" s="1" t="s">
        <v>299</v>
      </c>
      <c r="C89" s="1">
        <v>326</v>
      </c>
      <c r="D89" s="1">
        <v>2</v>
      </c>
      <c r="E89" s="1" t="s">
        <v>296</v>
      </c>
      <c r="F89" s="1" t="s">
        <v>297</v>
      </c>
      <c r="G89" s="1" t="s">
        <v>34</v>
      </c>
      <c r="H89" s="1" t="s">
        <v>35</v>
      </c>
      <c r="I89" s="1" t="s">
        <v>574</v>
      </c>
      <c r="J89" s="1" t="s">
        <v>36</v>
      </c>
      <c r="K89" s="1" t="s">
        <v>292</v>
      </c>
      <c r="L89" s="1" t="s">
        <v>118</v>
      </c>
      <c r="M89" s="1" t="s">
        <v>604</v>
      </c>
      <c r="N89" s="1" t="s">
        <v>518</v>
      </c>
      <c r="O89" s="2">
        <v>5.4954224589995864</v>
      </c>
      <c r="P89" s="2">
        <v>5.2380507824242546</v>
      </c>
      <c r="Q89" s="2">
        <v>4.1663654411603055</v>
      </c>
      <c r="R89" s="2">
        <v>7.0658386425233992</v>
      </c>
      <c r="S89" s="2">
        <v>8.0291168956757879</v>
      </c>
      <c r="T89" s="2">
        <v>6.9250996680990049</v>
      </c>
      <c r="U89" s="2">
        <f t="shared" si="2"/>
        <v>6.153315648147057</v>
      </c>
      <c r="V89" s="3">
        <f t="shared" si="3"/>
        <v>1.4258669963742749</v>
      </c>
      <c r="W89" s="1" t="s">
        <v>561</v>
      </c>
    </row>
    <row r="90" spans="1:23" x14ac:dyDescent="0.3">
      <c r="A90" s="1">
        <v>89</v>
      </c>
      <c r="B90" s="1" t="s">
        <v>301</v>
      </c>
      <c r="C90" s="1">
        <v>301</v>
      </c>
      <c r="D90" s="1">
        <v>1</v>
      </c>
      <c r="E90" s="1" t="s">
        <v>302</v>
      </c>
      <c r="F90" s="1">
        <v>116674322</v>
      </c>
      <c r="G90" s="1" t="s">
        <v>15</v>
      </c>
      <c r="H90" s="1" t="s">
        <v>72</v>
      </c>
      <c r="I90" s="1">
        <v>8.7999999999999995E-2</v>
      </c>
      <c r="J90" s="1" t="s">
        <v>36</v>
      </c>
      <c r="K90" s="1" t="s">
        <v>304</v>
      </c>
      <c r="L90" s="1" t="s">
        <v>19</v>
      </c>
      <c r="M90" s="1" t="s">
        <v>604</v>
      </c>
      <c r="N90" s="1" t="s">
        <v>519</v>
      </c>
      <c r="O90" s="2">
        <v>5.6803146025991591</v>
      </c>
      <c r="P90" s="2">
        <v>6.2724738087191625</v>
      </c>
      <c r="Q90" s="2">
        <v>7.907622779479774</v>
      </c>
      <c r="R90" s="2">
        <v>6.3162869904627899</v>
      </c>
      <c r="S90" s="2">
        <v>6.2791104084766234</v>
      </c>
      <c r="T90" s="2">
        <v>6.1471929941757102</v>
      </c>
      <c r="U90" s="2">
        <f t="shared" si="2"/>
        <v>6.4338335973188698</v>
      </c>
      <c r="V90" s="3">
        <f t="shared" si="3"/>
        <v>0.75971069698327121</v>
      </c>
      <c r="W90" s="1">
        <f>_xlfn.T.TEST(O90:T90,O91:T91,2,3)</f>
        <v>6.1863043422819309E-5</v>
      </c>
    </row>
    <row r="91" spans="1:23" x14ac:dyDescent="0.3">
      <c r="A91" s="1">
        <v>90</v>
      </c>
      <c r="B91" s="1" t="s">
        <v>305</v>
      </c>
      <c r="C91" s="1">
        <v>301</v>
      </c>
      <c r="D91" s="1">
        <v>1</v>
      </c>
      <c r="E91" s="1" t="s">
        <v>302</v>
      </c>
      <c r="F91" s="1">
        <v>116674322</v>
      </c>
      <c r="G91" s="1" t="s">
        <v>15</v>
      </c>
      <c r="H91" s="1" t="s">
        <v>72</v>
      </c>
      <c r="I91" s="1">
        <v>8.7999999999999995E-2</v>
      </c>
      <c r="J91" s="1" t="s">
        <v>36</v>
      </c>
      <c r="K91" s="1" t="s">
        <v>304</v>
      </c>
      <c r="L91" s="1" t="s">
        <v>19</v>
      </c>
      <c r="M91" s="1" t="s">
        <v>604</v>
      </c>
      <c r="N91" s="1" t="s">
        <v>520</v>
      </c>
      <c r="O91" s="2">
        <v>15.693354721094392</v>
      </c>
      <c r="P91" s="2">
        <v>12.123915364283173</v>
      </c>
      <c r="Q91" s="2">
        <v>11.506494360986581</v>
      </c>
      <c r="R91" s="2">
        <v>12.079079149368329</v>
      </c>
      <c r="S91" s="2">
        <v>11.506292808549746</v>
      </c>
      <c r="T91" s="2">
        <v>11.928272491690963</v>
      </c>
      <c r="U91" s="2">
        <f t="shared" si="2"/>
        <v>12.472901482662197</v>
      </c>
      <c r="V91" s="3">
        <f t="shared" si="3"/>
        <v>1.6008186776429034</v>
      </c>
      <c r="W91" s="1" t="s">
        <v>561</v>
      </c>
    </row>
    <row r="92" spans="1:23" x14ac:dyDescent="0.3">
      <c r="A92" s="1">
        <v>91</v>
      </c>
      <c r="B92" s="1" t="s">
        <v>307</v>
      </c>
      <c r="C92" s="1">
        <v>301</v>
      </c>
      <c r="D92" s="1">
        <v>1</v>
      </c>
      <c r="E92" s="1" t="s">
        <v>308</v>
      </c>
      <c r="F92" s="1">
        <v>116695595</v>
      </c>
      <c r="G92" s="1" t="s">
        <v>24</v>
      </c>
      <c r="H92" s="1" t="s">
        <v>15</v>
      </c>
      <c r="I92" s="1">
        <v>0.13</v>
      </c>
      <c r="J92" s="1" t="s">
        <v>36</v>
      </c>
      <c r="K92" s="1" t="s">
        <v>310</v>
      </c>
      <c r="L92" s="1" t="s">
        <v>147</v>
      </c>
      <c r="M92" s="1" t="s">
        <v>604</v>
      </c>
      <c r="N92" s="1" t="s">
        <v>521</v>
      </c>
      <c r="O92" s="2">
        <v>6.1193736124829394</v>
      </c>
      <c r="P92" s="2">
        <v>5.1671143391280054</v>
      </c>
      <c r="Q92" s="2">
        <v>5.2125038468001224</v>
      </c>
      <c r="R92" s="2">
        <v>4.7173959006687429</v>
      </c>
      <c r="S92" s="2">
        <v>5.0705082161297588</v>
      </c>
      <c r="T92" s="2">
        <v>5.209625190102158</v>
      </c>
      <c r="U92" s="2">
        <f t="shared" si="2"/>
        <v>5.2494201842186214</v>
      </c>
      <c r="V92" s="3">
        <f t="shared" si="3"/>
        <v>0.46510192595220196</v>
      </c>
      <c r="W92" s="1">
        <f>_xlfn.T.TEST(O92:T92,O93:T93,2,3)</f>
        <v>0.88762129928875055</v>
      </c>
    </row>
    <row r="93" spans="1:23" x14ac:dyDescent="0.3">
      <c r="A93" s="1">
        <v>92</v>
      </c>
      <c r="B93" s="1" t="s">
        <v>311</v>
      </c>
      <c r="C93" s="1">
        <v>301</v>
      </c>
      <c r="D93" s="1">
        <v>1</v>
      </c>
      <c r="E93" s="1" t="s">
        <v>308</v>
      </c>
      <c r="F93" s="1">
        <v>116695595</v>
      </c>
      <c r="G93" s="1" t="s">
        <v>24</v>
      </c>
      <c r="H93" s="1" t="s">
        <v>15</v>
      </c>
      <c r="I93" s="1">
        <v>0.13</v>
      </c>
      <c r="J93" s="1" t="s">
        <v>36</v>
      </c>
      <c r="K93" s="1" t="s">
        <v>310</v>
      </c>
      <c r="L93" s="1" t="s">
        <v>147</v>
      </c>
      <c r="M93" s="1" t="s">
        <v>604</v>
      </c>
      <c r="N93" s="1" t="s">
        <v>522</v>
      </c>
      <c r="O93" s="2">
        <v>5.8238418274686294</v>
      </c>
      <c r="P93" s="2">
        <v>5.5896297011538651</v>
      </c>
      <c r="Q93" s="2">
        <v>6.2135316681938377</v>
      </c>
      <c r="R93" s="2">
        <v>4.3795283564316563</v>
      </c>
      <c r="S93" s="2">
        <v>5.0567173601905289</v>
      </c>
      <c r="T93" s="2">
        <v>4.7316294227828291</v>
      </c>
      <c r="U93" s="2">
        <f t="shared" si="2"/>
        <v>5.2991463893702244</v>
      </c>
      <c r="V93" s="3">
        <f t="shared" si="3"/>
        <v>0.69603605702216387</v>
      </c>
      <c r="W93" s="1" t="s">
        <v>561</v>
      </c>
    </row>
    <row r="94" spans="1:23" x14ac:dyDescent="0.3">
      <c r="A94" s="1">
        <v>93</v>
      </c>
      <c r="B94" s="1" t="s">
        <v>313</v>
      </c>
      <c r="C94" s="1">
        <v>301</v>
      </c>
      <c r="D94" s="1">
        <v>1</v>
      </c>
      <c r="E94" s="1" t="s">
        <v>314</v>
      </c>
      <c r="F94" s="1">
        <v>117889505</v>
      </c>
      <c r="G94" s="1" t="s">
        <v>72</v>
      </c>
      <c r="H94" s="1" t="s">
        <v>14</v>
      </c>
      <c r="I94" s="1">
        <v>0.26900000000000002</v>
      </c>
      <c r="J94" s="1" t="s">
        <v>16</v>
      </c>
      <c r="K94" s="1" t="s">
        <v>316</v>
      </c>
      <c r="L94" s="1" t="s">
        <v>147</v>
      </c>
      <c r="M94" s="1" t="s">
        <v>605</v>
      </c>
      <c r="N94" s="1" t="s">
        <v>523</v>
      </c>
      <c r="O94" s="2">
        <v>1.5257437986742171</v>
      </c>
      <c r="P94" s="2">
        <v>1.2101260177755788</v>
      </c>
      <c r="Q94" s="2">
        <v>0.99719566296623696</v>
      </c>
      <c r="R94" s="2">
        <v>1.3913200685011995</v>
      </c>
      <c r="S94" s="2">
        <v>1.2725513886572193</v>
      </c>
      <c r="T94" s="2">
        <v>1.4568428516771115</v>
      </c>
      <c r="U94" s="2">
        <f t="shared" si="2"/>
        <v>1.3089632980419272</v>
      </c>
      <c r="V94" s="3">
        <f t="shared" si="3"/>
        <v>0.19180118814772068</v>
      </c>
      <c r="W94" s="1">
        <f>_xlfn.T.TEST(O94:T94,O95:T95,2,3)</f>
        <v>1.0667657422152251E-2</v>
      </c>
    </row>
    <row r="95" spans="1:23" x14ac:dyDescent="0.3">
      <c r="A95" s="1">
        <v>94</v>
      </c>
      <c r="B95" s="1" t="s">
        <v>317</v>
      </c>
      <c r="C95" s="1">
        <v>301</v>
      </c>
      <c r="D95" s="1">
        <v>1</v>
      </c>
      <c r="E95" s="1" t="s">
        <v>314</v>
      </c>
      <c r="F95" s="1">
        <v>117889505</v>
      </c>
      <c r="G95" s="1" t="s">
        <v>72</v>
      </c>
      <c r="H95" s="1" t="s">
        <v>14</v>
      </c>
      <c r="I95" s="1">
        <v>0.26900000000000002</v>
      </c>
      <c r="J95" s="1" t="s">
        <v>16</v>
      </c>
      <c r="K95" s="1" t="s">
        <v>316</v>
      </c>
      <c r="L95" s="1" t="s">
        <v>147</v>
      </c>
      <c r="M95" s="1" t="s">
        <v>605</v>
      </c>
      <c r="N95" s="1" t="s">
        <v>524</v>
      </c>
      <c r="O95" s="2">
        <v>1.3953310398125547</v>
      </c>
      <c r="P95" s="2">
        <v>1.6355988417386667</v>
      </c>
      <c r="Q95" s="2">
        <v>1.7217928091904962</v>
      </c>
      <c r="R95" s="2">
        <v>2.4326038194448483</v>
      </c>
      <c r="S95" s="2">
        <v>2.1110089716718079</v>
      </c>
      <c r="T95" s="2">
        <v>2.1333816136916917</v>
      </c>
      <c r="U95" s="2">
        <f t="shared" si="2"/>
        <v>1.9049528492583443</v>
      </c>
      <c r="V95" s="3">
        <f t="shared" si="3"/>
        <v>0.38441330430949933</v>
      </c>
      <c r="W95" s="1" t="s">
        <v>561</v>
      </c>
    </row>
    <row r="96" spans="1:23" x14ac:dyDescent="0.3">
      <c r="A96" s="1">
        <v>95</v>
      </c>
      <c r="B96" s="1" t="s">
        <v>319</v>
      </c>
      <c r="C96" s="1">
        <v>301</v>
      </c>
      <c r="D96" s="1">
        <v>1</v>
      </c>
      <c r="E96" s="1" t="s">
        <v>320</v>
      </c>
      <c r="F96" s="1">
        <v>117890385</v>
      </c>
      <c r="G96" s="1" t="s">
        <v>15</v>
      </c>
      <c r="H96" s="1" t="s">
        <v>24</v>
      </c>
      <c r="I96" s="1">
        <v>0.216</v>
      </c>
      <c r="J96" s="1" t="s">
        <v>16</v>
      </c>
      <c r="K96" s="1" t="s">
        <v>322</v>
      </c>
      <c r="L96" s="1" t="s">
        <v>323</v>
      </c>
      <c r="M96" s="1" t="s">
        <v>605</v>
      </c>
      <c r="N96" s="1" t="s">
        <v>525</v>
      </c>
      <c r="O96" s="2">
        <v>0.13667968703789379</v>
      </c>
      <c r="P96" s="2">
        <v>7.7755882238457336E-2</v>
      </c>
      <c r="Q96" s="2">
        <v>0.16220482320253038</v>
      </c>
      <c r="R96" s="2">
        <v>0.36641408410854698</v>
      </c>
      <c r="S96" s="2">
        <v>0.53038829585897218</v>
      </c>
      <c r="T96" s="2">
        <v>0.55905050867041173</v>
      </c>
      <c r="U96" s="2">
        <f t="shared" si="2"/>
        <v>0.30541554685280209</v>
      </c>
      <c r="V96" s="3">
        <f t="shared" si="3"/>
        <v>0.20951099152415883</v>
      </c>
      <c r="W96" s="1">
        <f>_xlfn.T.TEST(O96:T96,O97:T97,2,3)</f>
        <v>0.50523006145410543</v>
      </c>
    </row>
    <row r="97" spans="1:23" x14ac:dyDescent="0.3">
      <c r="A97" s="1">
        <v>96</v>
      </c>
      <c r="B97" s="1" t="s">
        <v>324</v>
      </c>
      <c r="C97" s="1">
        <v>301</v>
      </c>
      <c r="D97" s="1">
        <v>1</v>
      </c>
      <c r="E97" s="1" t="s">
        <v>320</v>
      </c>
      <c r="F97" s="1">
        <v>117890385</v>
      </c>
      <c r="G97" s="1" t="s">
        <v>15</v>
      </c>
      <c r="H97" s="1" t="s">
        <v>24</v>
      </c>
      <c r="I97" s="1">
        <v>0.216</v>
      </c>
      <c r="J97" s="1" t="s">
        <v>16</v>
      </c>
      <c r="K97" s="1" t="s">
        <v>322</v>
      </c>
      <c r="L97" s="1" t="s">
        <v>323</v>
      </c>
      <c r="M97" s="1" t="s">
        <v>605</v>
      </c>
      <c r="N97" s="1" t="s">
        <v>526</v>
      </c>
      <c r="O97" s="2">
        <v>0.34521010561303161</v>
      </c>
      <c r="P97" s="2">
        <v>0.23204049382529582</v>
      </c>
      <c r="Q97" s="2">
        <v>0.36685643063324586</v>
      </c>
      <c r="R97" s="2">
        <v>0.40661901622068619</v>
      </c>
      <c r="S97" s="2">
        <v>0.35625147465631168</v>
      </c>
      <c r="T97" s="2">
        <v>0.52045707329463942</v>
      </c>
      <c r="U97" s="2">
        <f t="shared" si="2"/>
        <v>0.37123909904053515</v>
      </c>
      <c r="V97" s="3">
        <f t="shared" si="3"/>
        <v>9.3611259194544036E-2</v>
      </c>
      <c r="W97" s="1" t="s">
        <v>561</v>
      </c>
    </row>
    <row r="98" spans="1:23" x14ac:dyDescent="0.3">
      <c r="A98" s="1">
        <v>97</v>
      </c>
      <c r="B98" s="1" t="s">
        <v>326</v>
      </c>
      <c r="C98" s="1">
        <v>301</v>
      </c>
      <c r="D98" s="1">
        <v>1</v>
      </c>
      <c r="E98" s="1" t="s">
        <v>327</v>
      </c>
      <c r="F98" s="1">
        <v>117897147</v>
      </c>
      <c r="G98" s="1" t="s">
        <v>14</v>
      </c>
      <c r="H98" s="1" t="s">
        <v>72</v>
      </c>
      <c r="I98" s="1">
        <v>0.113</v>
      </c>
      <c r="J98" s="1" t="s">
        <v>16</v>
      </c>
      <c r="K98" s="1" t="s">
        <v>329</v>
      </c>
      <c r="L98" s="1" t="s">
        <v>28</v>
      </c>
      <c r="M98" s="1" t="s">
        <v>605</v>
      </c>
      <c r="N98" s="1" t="s">
        <v>527</v>
      </c>
      <c r="O98" s="2">
        <v>1.070151327400398</v>
      </c>
      <c r="P98" s="2">
        <v>1.5768601939605658</v>
      </c>
      <c r="Q98" s="2">
        <v>1.4598434088227734</v>
      </c>
      <c r="R98" s="2">
        <v>1.2249624724255603</v>
      </c>
      <c r="S98" s="2">
        <v>1.2204957944482029</v>
      </c>
      <c r="T98" s="2">
        <v>1.2518410681361778</v>
      </c>
      <c r="U98" s="2">
        <f t="shared" si="2"/>
        <v>1.3006923775322798</v>
      </c>
      <c r="V98" s="3">
        <f t="shared" si="3"/>
        <v>0.18401078788106603</v>
      </c>
      <c r="W98" s="1">
        <f>_xlfn.T.TEST(O98:T98,O99:T99,2,3)</f>
        <v>7.3250184339926632E-4</v>
      </c>
    </row>
    <row r="99" spans="1:23" x14ac:dyDescent="0.3">
      <c r="A99" s="1">
        <v>98</v>
      </c>
      <c r="B99" s="1" t="s">
        <v>330</v>
      </c>
      <c r="C99" s="1">
        <v>301</v>
      </c>
      <c r="D99" s="1">
        <v>1</v>
      </c>
      <c r="E99" s="1" t="s">
        <v>327</v>
      </c>
      <c r="F99" s="1">
        <v>117897147</v>
      </c>
      <c r="G99" s="1" t="s">
        <v>14</v>
      </c>
      <c r="H99" s="1" t="s">
        <v>72</v>
      </c>
      <c r="I99" s="1">
        <v>0.113</v>
      </c>
      <c r="J99" s="1" t="s">
        <v>16</v>
      </c>
      <c r="K99" s="1" t="s">
        <v>329</v>
      </c>
      <c r="L99" s="1" t="s">
        <v>28</v>
      </c>
      <c r="M99" s="1" t="s">
        <v>605</v>
      </c>
      <c r="N99" s="1" t="s">
        <v>528</v>
      </c>
      <c r="O99" s="2">
        <v>2.1472357998334966</v>
      </c>
      <c r="P99" s="2">
        <v>1.6510071298031019</v>
      </c>
      <c r="Q99" s="2">
        <v>1.7996208143296339</v>
      </c>
      <c r="R99" s="2">
        <v>2.0169488250859247</v>
      </c>
      <c r="S99" s="2">
        <v>1.7840333587983608</v>
      </c>
      <c r="T99" s="2">
        <v>1.6379846877322022</v>
      </c>
      <c r="U99" s="2">
        <f t="shared" si="2"/>
        <v>1.8394717692637865</v>
      </c>
      <c r="V99" s="3">
        <f t="shared" si="3"/>
        <v>0.20346709029770418</v>
      </c>
      <c r="W99" s="1" t="s">
        <v>561</v>
      </c>
    </row>
    <row r="100" spans="1:23" x14ac:dyDescent="0.3">
      <c r="A100" s="1">
        <v>99</v>
      </c>
      <c r="B100" s="1" t="s">
        <v>332</v>
      </c>
      <c r="C100" s="1">
        <v>301</v>
      </c>
      <c r="D100" s="1">
        <v>1</v>
      </c>
      <c r="E100" s="1" t="s">
        <v>333</v>
      </c>
      <c r="F100" s="1">
        <v>23120140</v>
      </c>
      <c r="G100" s="1" t="s">
        <v>14</v>
      </c>
      <c r="H100" s="1" t="s">
        <v>72</v>
      </c>
      <c r="I100" s="1">
        <v>1</v>
      </c>
      <c r="J100" s="1" t="s">
        <v>36</v>
      </c>
      <c r="K100" s="1" t="s">
        <v>335</v>
      </c>
      <c r="L100" s="1" t="s">
        <v>47</v>
      </c>
      <c r="M100" s="1" t="s">
        <v>606</v>
      </c>
      <c r="N100" s="1" t="s">
        <v>529</v>
      </c>
      <c r="O100" s="2">
        <v>1.3917080494668401</v>
      </c>
      <c r="P100" s="2">
        <v>1.4728811487492182</v>
      </c>
      <c r="Q100" s="2">
        <v>1.675559101535417</v>
      </c>
      <c r="R100" s="2">
        <v>1.5042262400245612</v>
      </c>
      <c r="S100" s="2">
        <v>1.1632768160212608</v>
      </c>
      <c r="T100" s="2">
        <v>1.2230118952401692</v>
      </c>
      <c r="U100" s="2">
        <f t="shared" si="2"/>
        <v>1.405110541839578</v>
      </c>
      <c r="V100" s="3">
        <f t="shared" si="3"/>
        <v>0.18941082074023927</v>
      </c>
      <c r="W100" s="1">
        <f>_xlfn.T.TEST(O100:T100,O101:T101,2,3)</f>
        <v>0.24689897426534044</v>
      </c>
    </row>
    <row r="101" spans="1:23" x14ac:dyDescent="0.3">
      <c r="A101" s="1">
        <v>100</v>
      </c>
      <c r="B101" s="1" t="s">
        <v>336</v>
      </c>
      <c r="C101" s="1">
        <v>301</v>
      </c>
      <c r="D101" s="1">
        <v>1</v>
      </c>
      <c r="E101" s="1" t="s">
        <v>333</v>
      </c>
      <c r="F101" s="1">
        <v>23120140</v>
      </c>
      <c r="G101" s="1" t="s">
        <v>14</v>
      </c>
      <c r="H101" s="1" t="s">
        <v>72</v>
      </c>
      <c r="I101" s="1">
        <v>1</v>
      </c>
      <c r="J101" s="1" t="s">
        <v>36</v>
      </c>
      <c r="K101" s="1" t="s">
        <v>335</v>
      </c>
      <c r="L101" s="1" t="s">
        <v>47</v>
      </c>
      <c r="M101" s="1" t="s">
        <v>606</v>
      </c>
      <c r="N101" s="1" t="s">
        <v>530</v>
      </c>
      <c r="O101" s="2">
        <v>1.9284861040538466</v>
      </c>
      <c r="P101" s="2">
        <v>1.4984415045681541</v>
      </c>
      <c r="Q101" s="2">
        <v>1.5475129804295065</v>
      </c>
      <c r="R101" s="2">
        <v>1.4479784639552666</v>
      </c>
      <c r="S101" s="2">
        <v>1.6067215020607837</v>
      </c>
      <c r="T101" s="2">
        <v>1.2718206561746128</v>
      </c>
      <c r="U101" s="2">
        <f t="shared" si="2"/>
        <v>1.5501602018736953</v>
      </c>
      <c r="V101" s="3">
        <f t="shared" si="3"/>
        <v>0.21768119378376924</v>
      </c>
      <c r="W101" s="1" t="s">
        <v>561</v>
      </c>
    </row>
    <row r="102" spans="1:23" x14ac:dyDescent="0.3">
      <c r="A102" s="1">
        <v>101</v>
      </c>
      <c r="B102" s="1" t="s">
        <v>338</v>
      </c>
      <c r="C102" s="1">
        <v>301</v>
      </c>
      <c r="D102" s="1">
        <v>1</v>
      </c>
      <c r="E102" s="1" t="s">
        <v>339</v>
      </c>
      <c r="F102" s="1">
        <v>67547980</v>
      </c>
      <c r="G102" s="1" t="s">
        <v>72</v>
      </c>
      <c r="H102" s="1" t="s">
        <v>14</v>
      </c>
      <c r="I102" s="1">
        <v>0.36699999999999999</v>
      </c>
      <c r="J102" s="1" t="s">
        <v>36</v>
      </c>
      <c r="K102" s="1" t="s">
        <v>341</v>
      </c>
      <c r="L102" s="1" t="s">
        <v>118</v>
      </c>
      <c r="M102" s="1" t="s">
        <v>607</v>
      </c>
      <c r="N102" s="1" t="s">
        <v>531</v>
      </c>
      <c r="O102" s="2">
        <v>9.2196765760411434</v>
      </c>
      <c r="P102" s="2">
        <v>9.1119374906167341</v>
      </c>
      <c r="Q102" s="2">
        <v>8.0509305245195115</v>
      </c>
      <c r="R102" s="2">
        <v>3.7593768016630698</v>
      </c>
      <c r="S102" s="2">
        <v>3.9482098876614713</v>
      </c>
      <c r="T102" s="2">
        <v>4.0533161343943442</v>
      </c>
      <c r="U102" s="2">
        <f t="shared" si="2"/>
        <v>6.3572412358160451</v>
      </c>
      <c r="V102" s="3">
        <f t="shared" si="3"/>
        <v>2.7022536323387856</v>
      </c>
      <c r="W102" s="1">
        <f>_xlfn.T.TEST(O102:T102,O103:T103,2,3)</f>
        <v>1.681128234495986E-2</v>
      </c>
    </row>
    <row r="103" spans="1:23" x14ac:dyDescent="0.3">
      <c r="A103" s="1">
        <v>102</v>
      </c>
      <c r="B103" s="1" t="s">
        <v>342</v>
      </c>
      <c r="C103" s="1">
        <v>301</v>
      </c>
      <c r="D103" s="1">
        <v>1</v>
      </c>
      <c r="E103" s="1" t="s">
        <v>339</v>
      </c>
      <c r="F103" s="1">
        <v>67547980</v>
      </c>
      <c r="G103" s="1" t="s">
        <v>72</v>
      </c>
      <c r="H103" s="1" t="s">
        <v>14</v>
      </c>
      <c r="I103" s="1">
        <v>0.36699999999999999</v>
      </c>
      <c r="J103" s="1" t="s">
        <v>36</v>
      </c>
      <c r="K103" s="1" t="s">
        <v>341</v>
      </c>
      <c r="L103" s="1" t="s">
        <v>118</v>
      </c>
      <c r="M103" s="1" t="s">
        <v>607</v>
      </c>
      <c r="N103" s="1" t="s">
        <v>532</v>
      </c>
      <c r="O103" s="2">
        <v>14.391841336696128</v>
      </c>
      <c r="P103" s="2">
        <v>12.832078850002606</v>
      </c>
      <c r="Q103" s="2">
        <v>11.4856758845991</v>
      </c>
      <c r="R103" s="2">
        <v>33.154448064387509</v>
      </c>
      <c r="S103" s="2">
        <v>38.252184009547662</v>
      </c>
      <c r="T103" s="2">
        <v>36.000719456770163</v>
      </c>
      <c r="U103" s="2">
        <f t="shared" si="2"/>
        <v>24.352824600333861</v>
      </c>
      <c r="V103" s="3">
        <f t="shared" si="3"/>
        <v>12.679483494773402</v>
      </c>
      <c r="W103" s="1" t="s">
        <v>561</v>
      </c>
    </row>
    <row r="104" spans="1:23" x14ac:dyDescent="0.3">
      <c r="A104" s="1">
        <v>103</v>
      </c>
      <c r="B104" s="1" t="s">
        <v>344</v>
      </c>
      <c r="C104" s="1">
        <v>301</v>
      </c>
      <c r="D104" s="1">
        <v>1</v>
      </c>
      <c r="E104" s="1" t="s">
        <v>345</v>
      </c>
      <c r="F104" s="1">
        <v>17724927</v>
      </c>
      <c r="G104" s="1" t="s">
        <v>15</v>
      </c>
      <c r="H104" s="1" t="s">
        <v>24</v>
      </c>
      <c r="I104" s="1">
        <v>0.13</v>
      </c>
      <c r="J104" s="1" t="s">
        <v>170</v>
      </c>
      <c r="K104" s="1" t="s">
        <v>347</v>
      </c>
      <c r="L104" s="1" t="s">
        <v>75</v>
      </c>
      <c r="M104" s="1" t="s">
        <v>608</v>
      </c>
      <c r="N104" s="1" t="s">
        <v>533</v>
      </c>
      <c r="O104" s="2">
        <v>1.7040782855893286</v>
      </c>
      <c r="P104" s="2">
        <v>1.4037305358101335</v>
      </c>
      <c r="Q104" s="2">
        <v>2.4389763550127608</v>
      </c>
      <c r="R104" s="2">
        <v>1.3426434486518728</v>
      </c>
      <c r="S104" s="2">
        <v>1.3037401626939435</v>
      </c>
      <c r="T104" s="2">
        <v>2.0258437685207187</v>
      </c>
      <c r="U104" s="2">
        <f t="shared" si="2"/>
        <v>1.7031687593797933</v>
      </c>
      <c r="V104" s="3">
        <f t="shared" si="3"/>
        <v>0.4527069161860971</v>
      </c>
      <c r="W104" s="1">
        <f>_xlfn.T.TEST(O104:T104,O105:T105,2,3)</f>
        <v>5.9768979347134307E-7</v>
      </c>
    </row>
    <row r="105" spans="1:23" x14ac:dyDescent="0.3">
      <c r="A105" s="1">
        <v>104</v>
      </c>
      <c r="B105" s="1" t="s">
        <v>348</v>
      </c>
      <c r="C105" s="1">
        <v>301</v>
      </c>
      <c r="D105" s="1">
        <v>1</v>
      </c>
      <c r="E105" s="1" t="s">
        <v>345</v>
      </c>
      <c r="F105" s="1">
        <v>17724927</v>
      </c>
      <c r="G105" s="1" t="s">
        <v>15</v>
      </c>
      <c r="H105" s="1" t="s">
        <v>24</v>
      </c>
      <c r="I105" s="1">
        <v>0.13</v>
      </c>
      <c r="J105" s="1" t="s">
        <v>170</v>
      </c>
      <c r="K105" s="1" t="s">
        <v>347</v>
      </c>
      <c r="L105" s="1" t="s">
        <v>75</v>
      </c>
      <c r="M105" s="1" t="s">
        <v>608</v>
      </c>
      <c r="N105" s="1" t="s">
        <v>534</v>
      </c>
      <c r="O105" s="2">
        <v>6.1101215356742644</v>
      </c>
      <c r="P105" s="2">
        <v>6.4236948168174939</v>
      </c>
      <c r="Q105" s="2">
        <v>7.2601271430267715</v>
      </c>
      <c r="R105" s="2">
        <v>5.4748422908486996</v>
      </c>
      <c r="S105" s="2">
        <v>5.9427504395730999</v>
      </c>
      <c r="T105" s="2">
        <v>7.2785554668765249</v>
      </c>
      <c r="U105" s="2">
        <f t="shared" si="2"/>
        <v>6.4150152821361424</v>
      </c>
      <c r="V105" s="3">
        <f t="shared" si="3"/>
        <v>0.72937104056862856</v>
      </c>
      <c r="W105" s="1" t="s">
        <v>561</v>
      </c>
    </row>
    <row r="106" spans="1:23" x14ac:dyDescent="0.3">
      <c r="A106" s="1">
        <v>105</v>
      </c>
      <c r="B106" s="1" t="s">
        <v>350</v>
      </c>
      <c r="C106" s="1">
        <v>301</v>
      </c>
      <c r="D106" s="1">
        <v>1</v>
      </c>
      <c r="E106" s="1" t="s">
        <v>351</v>
      </c>
      <c r="F106" s="1">
        <v>17725971</v>
      </c>
      <c r="G106" s="1" t="s">
        <v>24</v>
      </c>
      <c r="H106" s="1" t="s">
        <v>15</v>
      </c>
      <c r="I106" s="1">
        <v>0.188</v>
      </c>
      <c r="J106" s="1" t="s">
        <v>170</v>
      </c>
      <c r="K106" s="1" t="s">
        <v>347</v>
      </c>
      <c r="L106" s="1" t="s">
        <v>75</v>
      </c>
      <c r="M106" s="1" t="s">
        <v>608</v>
      </c>
      <c r="N106" s="1" t="s">
        <v>535</v>
      </c>
      <c r="O106" s="2">
        <v>6.9850676234203997</v>
      </c>
      <c r="P106" s="2">
        <v>2.9675505613063442</v>
      </c>
      <c r="Q106" s="2">
        <v>4.9038508189086834</v>
      </c>
      <c r="R106" s="2">
        <v>5.2312352435174789</v>
      </c>
      <c r="S106" s="2">
        <v>4.8134309455477853</v>
      </c>
      <c r="T106" s="2">
        <v>4.5087006490941164</v>
      </c>
      <c r="U106" s="2">
        <f t="shared" si="2"/>
        <v>4.9016393069658015</v>
      </c>
      <c r="V106" s="3">
        <f t="shared" si="3"/>
        <v>1.292454463564727</v>
      </c>
      <c r="W106" s="1">
        <f>_xlfn.T.TEST(O106:T106,O107:T107,2,3)</f>
        <v>0.50190555140968396</v>
      </c>
    </row>
    <row r="107" spans="1:23" x14ac:dyDescent="0.3">
      <c r="A107" s="1">
        <v>106</v>
      </c>
      <c r="B107" s="1" t="s">
        <v>353</v>
      </c>
      <c r="C107" s="1">
        <v>301</v>
      </c>
      <c r="D107" s="1">
        <v>1</v>
      </c>
      <c r="E107" s="1" t="s">
        <v>351</v>
      </c>
      <c r="F107" s="1">
        <v>17725971</v>
      </c>
      <c r="G107" s="1" t="s">
        <v>24</v>
      </c>
      <c r="H107" s="1" t="s">
        <v>15</v>
      </c>
      <c r="I107" s="1">
        <v>0.188</v>
      </c>
      <c r="J107" s="1" t="s">
        <v>170</v>
      </c>
      <c r="K107" s="1" t="s">
        <v>347</v>
      </c>
      <c r="L107" s="1" t="s">
        <v>75</v>
      </c>
      <c r="M107" s="1" t="s">
        <v>608</v>
      </c>
      <c r="N107" s="1" t="s">
        <v>536</v>
      </c>
      <c r="O107" s="2">
        <v>4.852861454133639</v>
      </c>
      <c r="P107" s="2">
        <v>2.960961468096484</v>
      </c>
      <c r="Q107" s="2">
        <v>4.8754930143669784</v>
      </c>
      <c r="R107" s="2">
        <v>7.2332431096852492</v>
      </c>
      <c r="S107" s="2">
        <v>6.2448596246426238</v>
      </c>
      <c r="T107" s="2">
        <v>6.713874560132111</v>
      </c>
      <c r="U107" s="2">
        <f t="shared" si="2"/>
        <v>5.4802155385095146</v>
      </c>
      <c r="V107" s="3">
        <f t="shared" si="3"/>
        <v>1.5675206139041677</v>
      </c>
      <c r="W107" s="1" t="s">
        <v>561</v>
      </c>
    </row>
    <row r="108" spans="1:23" x14ac:dyDescent="0.3">
      <c r="A108" s="1">
        <v>107</v>
      </c>
      <c r="B108" s="1" t="s">
        <v>355</v>
      </c>
      <c r="C108" s="1">
        <v>524</v>
      </c>
      <c r="D108" s="1">
        <v>2</v>
      </c>
      <c r="E108" s="1" t="s">
        <v>356</v>
      </c>
      <c r="F108" s="1" t="s">
        <v>357</v>
      </c>
      <c r="G108" s="1" t="s">
        <v>358</v>
      </c>
      <c r="H108" s="1" t="s">
        <v>359</v>
      </c>
      <c r="I108" s="1" t="s">
        <v>575</v>
      </c>
      <c r="J108" s="1" t="s">
        <v>170</v>
      </c>
      <c r="K108" s="1" t="s">
        <v>347</v>
      </c>
      <c r="L108" s="1" t="s">
        <v>75</v>
      </c>
      <c r="M108" s="1" t="s">
        <v>608</v>
      </c>
      <c r="N108" s="1" t="s">
        <v>537</v>
      </c>
      <c r="O108" s="2">
        <v>1.268831203292323</v>
      </c>
      <c r="P108" s="2">
        <v>0.80496044082493956</v>
      </c>
      <c r="Q108" s="2">
        <v>1.2283484592103926</v>
      </c>
      <c r="R108" s="2">
        <v>1.230225272326692</v>
      </c>
      <c r="S108" s="2">
        <v>1.067467730226914</v>
      </c>
      <c r="T108" s="2">
        <v>1.2020107752088278</v>
      </c>
      <c r="U108" s="2">
        <f t="shared" si="2"/>
        <v>1.1336406468483482</v>
      </c>
      <c r="V108" s="3">
        <f t="shared" si="3"/>
        <v>0.17530467953288253</v>
      </c>
      <c r="W108" s="1">
        <f>_xlfn.T.TEST(O108:T108,O109:T109,2,3)</f>
        <v>1.8824588195224656E-4</v>
      </c>
    </row>
    <row r="109" spans="1:23" x14ac:dyDescent="0.3">
      <c r="A109" s="1">
        <v>108</v>
      </c>
      <c r="B109" s="1" t="s">
        <v>361</v>
      </c>
      <c r="C109" s="1">
        <v>524</v>
      </c>
      <c r="D109" s="1">
        <v>2</v>
      </c>
      <c r="E109" s="1" t="s">
        <v>356</v>
      </c>
      <c r="F109" s="1" t="s">
        <v>357</v>
      </c>
      <c r="G109" s="1" t="s">
        <v>358</v>
      </c>
      <c r="H109" s="1" t="s">
        <v>359</v>
      </c>
      <c r="I109" s="1" t="s">
        <v>575</v>
      </c>
      <c r="J109" s="1" t="s">
        <v>170</v>
      </c>
      <c r="K109" s="1" t="s">
        <v>347</v>
      </c>
      <c r="L109" s="1" t="s">
        <v>75</v>
      </c>
      <c r="M109" s="1" t="s">
        <v>608</v>
      </c>
      <c r="N109" s="1" t="s">
        <v>538</v>
      </c>
      <c r="O109" s="2">
        <v>0.58469526203823274</v>
      </c>
      <c r="P109" s="2">
        <v>0.16428594783960707</v>
      </c>
      <c r="Q109" s="2">
        <v>0.72586079931604663</v>
      </c>
      <c r="R109" s="2">
        <v>0.64382962206257754</v>
      </c>
      <c r="S109" s="2">
        <v>0.47350271837820268</v>
      </c>
      <c r="T109" s="2">
        <v>0.49913667555291646</v>
      </c>
      <c r="U109" s="2">
        <f t="shared" si="2"/>
        <v>0.51521850419793047</v>
      </c>
      <c r="V109" s="3">
        <f t="shared" si="3"/>
        <v>0.1953921733961394</v>
      </c>
      <c r="W109" s="1" t="s">
        <v>561</v>
      </c>
    </row>
    <row r="110" spans="1:23" x14ac:dyDescent="0.3">
      <c r="A110" s="1">
        <v>109</v>
      </c>
      <c r="B110" s="1" t="s">
        <v>363</v>
      </c>
      <c r="C110" s="1">
        <v>301</v>
      </c>
      <c r="D110" s="1">
        <v>1</v>
      </c>
      <c r="E110" s="1" t="s">
        <v>364</v>
      </c>
      <c r="F110" s="1">
        <v>49014714</v>
      </c>
      <c r="G110" s="1" t="s">
        <v>24</v>
      </c>
      <c r="H110" s="1" t="s">
        <v>15</v>
      </c>
      <c r="I110" s="1">
        <v>0.93200000000000005</v>
      </c>
      <c r="J110" s="1" t="s">
        <v>170</v>
      </c>
      <c r="K110" s="1" t="s">
        <v>366</v>
      </c>
      <c r="L110" s="1" t="s">
        <v>67</v>
      </c>
      <c r="M110" s="1" t="s">
        <v>609</v>
      </c>
      <c r="N110" s="1" t="s">
        <v>539</v>
      </c>
      <c r="O110" s="2">
        <v>0.75059248629830388</v>
      </c>
      <c r="P110" s="2">
        <v>0.42438920173915023</v>
      </c>
      <c r="Q110" s="2">
        <v>0.6946514269185432</v>
      </c>
      <c r="R110" s="2">
        <v>0.59118215518115769</v>
      </c>
      <c r="S110" s="2">
        <v>0.48395583859568186</v>
      </c>
      <c r="T110" s="2">
        <v>0.59507371257236596</v>
      </c>
      <c r="U110" s="2">
        <f t="shared" si="2"/>
        <v>0.58997413688420053</v>
      </c>
      <c r="V110" s="3">
        <f t="shared" si="3"/>
        <v>0.12283428228050511</v>
      </c>
      <c r="W110" s="1">
        <f>_xlfn.T.TEST(O110:T110,O111:T111,2,3)</f>
        <v>2.0378683090764096E-2</v>
      </c>
    </row>
    <row r="111" spans="1:23" x14ac:dyDescent="0.3">
      <c r="A111" s="1">
        <v>110</v>
      </c>
      <c r="B111" s="1" t="s">
        <v>367</v>
      </c>
      <c r="C111" s="1">
        <v>301</v>
      </c>
      <c r="D111" s="1">
        <v>1</v>
      </c>
      <c r="E111" s="1" t="s">
        <v>364</v>
      </c>
      <c r="F111" s="1">
        <v>49014714</v>
      </c>
      <c r="G111" s="1" t="s">
        <v>24</v>
      </c>
      <c r="H111" s="1" t="s">
        <v>15</v>
      </c>
      <c r="I111" s="1">
        <v>0.93200000000000005</v>
      </c>
      <c r="J111" s="1" t="s">
        <v>170</v>
      </c>
      <c r="K111" s="1" t="s">
        <v>366</v>
      </c>
      <c r="L111" s="1" t="s">
        <v>67</v>
      </c>
      <c r="M111" s="1" t="s">
        <v>609</v>
      </c>
      <c r="N111" s="1" t="s">
        <v>540</v>
      </c>
      <c r="O111" s="2">
        <v>0.48055836079286129</v>
      </c>
      <c r="P111" s="2">
        <v>0.34731667110907349</v>
      </c>
      <c r="Q111" s="2">
        <v>0.43420529055890422</v>
      </c>
      <c r="R111" s="2">
        <v>0.43094067627679122</v>
      </c>
      <c r="S111" s="2">
        <v>0.4729529897258421</v>
      </c>
      <c r="T111" s="2">
        <v>0.38823484349260473</v>
      </c>
      <c r="U111" s="2">
        <f t="shared" si="2"/>
        <v>0.42570147199267949</v>
      </c>
      <c r="V111" s="3">
        <f t="shared" si="3"/>
        <v>5.0773366304364687E-2</v>
      </c>
      <c r="W111" s="1" t="s">
        <v>561</v>
      </c>
    </row>
    <row r="112" spans="1:23" x14ac:dyDescent="0.3">
      <c r="A112" s="1">
        <v>111</v>
      </c>
      <c r="B112" s="1" t="s">
        <v>369</v>
      </c>
      <c r="C112" s="1">
        <v>301</v>
      </c>
      <c r="D112" s="1">
        <v>1</v>
      </c>
      <c r="E112" s="1" t="s">
        <v>370</v>
      </c>
      <c r="F112" s="1">
        <v>63138516</v>
      </c>
      <c r="G112" s="1" t="s">
        <v>15</v>
      </c>
      <c r="H112" s="1" t="s">
        <v>24</v>
      </c>
      <c r="I112" s="1">
        <v>0.5</v>
      </c>
      <c r="J112" s="1" t="s">
        <v>170</v>
      </c>
      <c r="K112" s="1" t="s">
        <v>372</v>
      </c>
      <c r="L112" s="1" t="s">
        <v>118</v>
      </c>
      <c r="M112" s="1" t="s">
        <v>610</v>
      </c>
      <c r="N112" s="1" t="s">
        <v>541</v>
      </c>
      <c r="O112" s="2">
        <v>1.1820808553264917</v>
      </c>
      <c r="P112" s="2">
        <v>0.88573501793194043</v>
      </c>
      <c r="Q112" s="2">
        <v>1.0967825072549744</v>
      </c>
      <c r="R112" s="2">
        <v>1.6135678289815929</v>
      </c>
      <c r="S112" s="2">
        <v>1.3655321840869517</v>
      </c>
      <c r="T112" s="2">
        <v>1.380587978918782</v>
      </c>
      <c r="U112" s="2">
        <f t="shared" si="2"/>
        <v>1.2540477287501222</v>
      </c>
      <c r="V112" s="3">
        <f t="shared" si="3"/>
        <v>0.25426826576569456</v>
      </c>
      <c r="W112" s="1">
        <f>_xlfn.T.TEST(O112:T112,O113:T113,2,3)</f>
        <v>0.14364384881309947</v>
      </c>
    </row>
    <row r="113" spans="1:23" x14ac:dyDescent="0.3">
      <c r="A113" s="1">
        <v>112</v>
      </c>
      <c r="B113" s="1" t="s">
        <v>373</v>
      </c>
      <c r="C113" s="1">
        <v>301</v>
      </c>
      <c r="D113" s="1">
        <v>1</v>
      </c>
      <c r="E113" s="1" t="s">
        <v>370</v>
      </c>
      <c r="F113" s="1">
        <v>63138516</v>
      </c>
      <c r="G113" s="1" t="s">
        <v>15</v>
      </c>
      <c r="H113" s="1" t="s">
        <v>24</v>
      </c>
      <c r="I113" s="1">
        <v>0.5</v>
      </c>
      <c r="J113" s="1" t="s">
        <v>170</v>
      </c>
      <c r="K113" s="1" t="s">
        <v>372</v>
      </c>
      <c r="L113" s="1" t="s">
        <v>118</v>
      </c>
      <c r="M113" s="1" t="s">
        <v>610</v>
      </c>
      <c r="N113" s="1" t="s">
        <v>542</v>
      </c>
      <c r="O113" s="2">
        <v>1.223158711297172</v>
      </c>
      <c r="P113" s="2">
        <v>0.49098784107718052</v>
      </c>
      <c r="Q113" s="2">
        <v>0.93962209841926869</v>
      </c>
      <c r="R113" s="2">
        <v>1.3519707491036588</v>
      </c>
      <c r="S113" s="2">
        <v>1.0635706683129234</v>
      </c>
      <c r="T113" s="2">
        <v>0.92738174127285411</v>
      </c>
      <c r="U113" s="2">
        <f t="shared" si="2"/>
        <v>0.99944863491384295</v>
      </c>
      <c r="V113" s="3">
        <f t="shared" si="3"/>
        <v>0.29857491687431864</v>
      </c>
      <c r="W113" s="1" t="s">
        <v>561</v>
      </c>
    </row>
    <row r="114" spans="1:23" x14ac:dyDescent="0.3">
      <c r="A114" s="1">
        <v>113</v>
      </c>
      <c r="B114" s="1" t="s">
        <v>375</v>
      </c>
      <c r="C114" s="1">
        <v>301</v>
      </c>
      <c r="D114" s="1">
        <v>1</v>
      </c>
      <c r="E114" s="1" t="s">
        <v>376</v>
      </c>
      <c r="F114" s="1">
        <v>63143007</v>
      </c>
      <c r="G114" s="1" t="s">
        <v>15</v>
      </c>
      <c r="H114" s="1" t="s">
        <v>72</v>
      </c>
      <c r="I114" s="1">
        <v>0.33100000000000002</v>
      </c>
      <c r="J114" s="1" t="s">
        <v>170</v>
      </c>
      <c r="K114" s="1" t="s">
        <v>378</v>
      </c>
      <c r="L114" s="1" t="s">
        <v>118</v>
      </c>
      <c r="M114" s="1" t="s">
        <v>610</v>
      </c>
      <c r="N114" s="1" t="s">
        <v>543</v>
      </c>
      <c r="O114" s="2">
        <v>1.441675082378584</v>
      </c>
      <c r="P114" s="2">
        <v>1.3282565881355133</v>
      </c>
      <c r="Q114" s="2">
        <v>1.6321049048222971</v>
      </c>
      <c r="R114" s="2">
        <v>1.821372151922924</v>
      </c>
      <c r="S114" s="2">
        <v>1.5138172474338565</v>
      </c>
      <c r="T114" s="2">
        <v>1.7882024324008909</v>
      </c>
      <c r="U114" s="2">
        <f t="shared" si="2"/>
        <v>1.5875714011823441</v>
      </c>
      <c r="V114" s="3">
        <f t="shared" si="3"/>
        <v>0.19538086804100613</v>
      </c>
      <c r="W114" s="1">
        <f>_xlfn.T.TEST(O114:T114,O115:T115,2,3)</f>
        <v>0.88731987487885777</v>
      </c>
    </row>
    <row r="115" spans="1:23" x14ac:dyDescent="0.3">
      <c r="A115" s="1">
        <v>114</v>
      </c>
      <c r="B115" s="1" t="s">
        <v>379</v>
      </c>
      <c r="C115" s="1">
        <v>301</v>
      </c>
      <c r="D115" s="1">
        <v>1</v>
      </c>
      <c r="E115" s="1" t="s">
        <v>376</v>
      </c>
      <c r="F115" s="1">
        <v>63143007</v>
      </c>
      <c r="G115" s="1" t="s">
        <v>15</v>
      </c>
      <c r="H115" s="1" t="s">
        <v>72</v>
      </c>
      <c r="I115" s="1">
        <v>0.33100000000000002</v>
      </c>
      <c r="J115" s="1" t="s">
        <v>170</v>
      </c>
      <c r="K115" s="1" t="s">
        <v>378</v>
      </c>
      <c r="L115" s="1" t="s">
        <v>118</v>
      </c>
      <c r="M115" s="1" t="s">
        <v>610</v>
      </c>
      <c r="N115" s="1" t="s">
        <v>544</v>
      </c>
      <c r="O115" s="2">
        <v>1.4961569895614955</v>
      </c>
      <c r="P115" s="2">
        <v>1.836630295364363</v>
      </c>
      <c r="Q115" s="2">
        <v>1.0534050213264641</v>
      </c>
      <c r="R115" s="2">
        <v>1.8111000154992611</v>
      </c>
      <c r="S115" s="2">
        <v>1.6035001907973627</v>
      </c>
      <c r="T115" s="2">
        <v>1.6014687294069945</v>
      </c>
      <c r="U115" s="2">
        <f t="shared" si="2"/>
        <v>1.5670435403259901</v>
      </c>
      <c r="V115" s="3">
        <f t="shared" si="3"/>
        <v>0.28411412983246309</v>
      </c>
      <c r="W115" s="1" t="s">
        <v>561</v>
      </c>
    </row>
    <row r="116" spans="1:23" x14ac:dyDescent="0.3">
      <c r="A116" s="1">
        <v>115</v>
      </c>
      <c r="B116" s="1" t="s">
        <v>381</v>
      </c>
      <c r="C116" s="1">
        <v>301</v>
      </c>
      <c r="D116" s="1">
        <v>1</v>
      </c>
      <c r="E116" s="1" t="s">
        <v>382</v>
      </c>
      <c r="F116" s="1">
        <v>77023047</v>
      </c>
      <c r="G116" s="1" t="s">
        <v>15</v>
      </c>
      <c r="H116" s="1" t="s">
        <v>24</v>
      </c>
      <c r="I116" s="1">
        <v>0.37</v>
      </c>
      <c r="J116" s="1" t="s">
        <v>170</v>
      </c>
      <c r="K116" s="1" t="s">
        <v>384</v>
      </c>
      <c r="L116" s="1" t="s">
        <v>28</v>
      </c>
      <c r="M116" s="1" t="s">
        <v>611</v>
      </c>
      <c r="N116" s="1" t="s">
        <v>545</v>
      </c>
      <c r="O116" s="2">
        <v>1.1549385968327395</v>
      </c>
      <c r="P116" s="2">
        <v>1.5333254660212183</v>
      </c>
      <c r="Q116" s="2">
        <v>1.2272975567496582</v>
      </c>
      <c r="R116" s="2">
        <v>1.8123026835396356</v>
      </c>
      <c r="S116" s="2">
        <v>1.7536702599276361</v>
      </c>
      <c r="T116" s="2">
        <v>1.7124407825777257</v>
      </c>
      <c r="U116" s="2">
        <f t="shared" si="2"/>
        <v>1.532329224274769</v>
      </c>
      <c r="V116" s="3">
        <f t="shared" si="3"/>
        <v>0.28117117980432921</v>
      </c>
      <c r="W116" s="1">
        <f>_xlfn.T.TEST(O116:T116,O117:T117,2,3)</f>
        <v>2.8877108218909181E-2</v>
      </c>
    </row>
    <row r="117" spans="1:23" x14ac:dyDescent="0.3">
      <c r="A117" s="1">
        <v>116</v>
      </c>
      <c r="B117" s="1" t="s">
        <v>385</v>
      </c>
      <c r="C117" s="1">
        <v>301</v>
      </c>
      <c r="D117" s="1">
        <v>1</v>
      </c>
      <c r="E117" s="1" t="s">
        <v>382</v>
      </c>
      <c r="F117" s="1">
        <v>77023047</v>
      </c>
      <c r="G117" s="1" t="s">
        <v>15</v>
      </c>
      <c r="H117" s="1" t="s">
        <v>24</v>
      </c>
      <c r="I117" s="1">
        <v>0.37</v>
      </c>
      <c r="J117" s="1" t="s">
        <v>170</v>
      </c>
      <c r="K117" s="1" t="s">
        <v>384</v>
      </c>
      <c r="L117" s="1" t="s">
        <v>28</v>
      </c>
      <c r="M117" s="1" t="s">
        <v>611</v>
      </c>
      <c r="N117" s="1" t="s">
        <v>546</v>
      </c>
      <c r="O117" s="2">
        <v>1.7013087743590101</v>
      </c>
      <c r="P117" s="2">
        <v>1.9521477186424867</v>
      </c>
      <c r="Q117" s="2">
        <v>1.7688409306862238</v>
      </c>
      <c r="R117" s="2">
        <v>2.0520984584609105</v>
      </c>
      <c r="S117" s="2">
        <v>1.8359289707556361</v>
      </c>
      <c r="T117" s="2">
        <v>1.9621434575420762</v>
      </c>
      <c r="U117" s="2">
        <f t="shared" si="2"/>
        <v>1.8787447184077239</v>
      </c>
      <c r="V117" s="3">
        <f t="shared" si="3"/>
        <v>0.13250691632219824</v>
      </c>
      <c r="W117" s="1" t="s">
        <v>561</v>
      </c>
    </row>
    <row r="118" spans="1:23" x14ac:dyDescent="0.3">
      <c r="A118" s="1">
        <v>117</v>
      </c>
      <c r="B118" s="1" t="s">
        <v>387</v>
      </c>
      <c r="C118" s="1">
        <v>301</v>
      </c>
      <c r="D118" s="1">
        <v>1</v>
      </c>
      <c r="E118" s="1" t="s">
        <v>388</v>
      </c>
      <c r="F118" s="1">
        <v>17856139</v>
      </c>
      <c r="G118" s="1" t="s">
        <v>24</v>
      </c>
      <c r="H118" s="1" t="s">
        <v>14</v>
      </c>
      <c r="I118" s="1">
        <v>0.49099999999999999</v>
      </c>
      <c r="J118" s="1" t="s">
        <v>36</v>
      </c>
      <c r="K118" s="1" t="s">
        <v>390</v>
      </c>
      <c r="L118" s="1" t="s">
        <v>118</v>
      </c>
      <c r="M118" s="1" t="s">
        <v>612</v>
      </c>
      <c r="N118" s="1" t="s">
        <v>547</v>
      </c>
      <c r="O118" s="2">
        <v>3.641507663752714</v>
      </c>
      <c r="P118" s="2">
        <v>3.3517976797639184</v>
      </c>
      <c r="Q118" s="2">
        <v>3.1190850580539022</v>
      </c>
      <c r="R118" s="2">
        <v>3.3419135563881408</v>
      </c>
      <c r="S118" s="2">
        <v>2.8553124563124821</v>
      </c>
      <c r="T118" s="2">
        <v>3.0973173670123639</v>
      </c>
      <c r="U118" s="2">
        <f t="shared" si="2"/>
        <v>3.2344889635472533</v>
      </c>
      <c r="V118" s="3">
        <f t="shared" si="3"/>
        <v>0.27087802875175554</v>
      </c>
      <c r="W118" s="1">
        <f>_xlfn.T.TEST(O118:T118,O119:T119,2,3)</f>
        <v>8.3119909490767849E-2</v>
      </c>
    </row>
    <row r="119" spans="1:23" x14ac:dyDescent="0.3">
      <c r="A119" s="1">
        <v>118</v>
      </c>
      <c r="B119" s="1" t="s">
        <v>391</v>
      </c>
      <c r="C119" s="1">
        <v>301</v>
      </c>
      <c r="D119" s="1">
        <v>1</v>
      </c>
      <c r="E119" s="1" t="s">
        <v>388</v>
      </c>
      <c r="F119" s="1">
        <v>17856139</v>
      </c>
      <c r="G119" s="1" t="s">
        <v>24</v>
      </c>
      <c r="H119" s="1" t="s">
        <v>14</v>
      </c>
      <c r="I119" s="1">
        <v>0.49099999999999999</v>
      </c>
      <c r="J119" s="1" t="s">
        <v>36</v>
      </c>
      <c r="K119" s="1" t="s">
        <v>390</v>
      </c>
      <c r="L119" s="1" t="s">
        <v>118</v>
      </c>
      <c r="M119" s="1" t="s">
        <v>612</v>
      </c>
      <c r="N119" s="1" t="s">
        <v>548</v>
      </c>
      <c r="O119" s="2">
        <v>2.9576720202049214</v>
      </c>
      <c r="P119" s="2">
        <v>3.5249077733283483</v>
      </c>
      <c r="Q119" s="2">
        <v>3.102338784865307</v>
      </c>
      <c r="R119" s="2">
        <v>2.229003497983403</v>
      </c>
      <c r="S119" s="2">
        <v>2.4534380684784871</v>
      </c>
      <c r="T119" s="2">
        <v>2.1692294715955334</v>
      </c>
      <c r="U119" s="2">
        <f t="shared" si="2"/>
        <v>2.7394316027426666</v>
      </c>
      <c r="V119" s="3">
        <f t="shared" si="3"/>
        <v>0.54106615849487993</v>
      </c>
      <c r="W119" s="1" t="s">
        <v>561</v>
      </c>
    </row>
    <row r="120" spans="1:23" x14ac:dyDescent="0.3">
      <c r="A120" s="1">
        <v>119</v>
      </c>
      <c r="B120" s="1" t="s">
        <v>393</v>
      </c>
      <c r="C120" s="1">
        <v>301</v>
      </c>
      <c r="D120" s="1">
        <v>1</v>
      </c>
      <c r="E120" s="1" t="s">
        <v>394</v>
      </c>
      <c r="F120" s="1">
        <v>38404563</v>
      </c>
      <c r="G120" s="1" t="s">
        <v>24</v>
      </c>
      <c r="H120" s="1" t="s">
        <v>14</v>
      </c>
      <c r="I120" s="1">
        <v>0.98499999999999999</v>
      </c>
      <c r="J120" s="1" t="s">
        <v>36</v>
      </c>
      <c r="K120" s="1" t="s">
        <v>396</v>
      </c>
      <c r="L120" s="1" t="s">
        <v>323</v>
      </c>
      <c r="M120" s="1" t="s">
        <v>613</v>
      </c>
      <c r="N120" s="1" t="s">
        <v>549</v>
      </c>
      <c r="O120" s="2">
        <v>2.4442415817146341</v>
      </c>
      <c r="P120" s="2">
        <v>1.657156767289262</v>
      </c>
      <c r="Q120" s="2">
        <v>2.2147472280018823</v>
      </c>
      <c r="R120" s="2">
        <v>1.7257752710208918</v>
      </c>
      <c r="S120" s="2">
        <v>1.6748616354587347</v>
      </c>
      <c r="T120" s="2">
        <v>1.4999759679529014</v>
      </c>
      <c r="U120" s="2">
        <f t="shared" si="2"/>
        <v>1.8694597419063843</v>
      </c>
      <c r="V120" s="3">
        <f t="shared" si="3"/>
        <v>0.37140330474575683</v>
      </c>
      <c r="W120" s="1">
        <f>_xlfn.T.TEST(O120:T120,O121:T121,2,3)</f>
        <v>1.224470775808514E-2</v>
      </c>
    </row>
    <row r="121" spans="1:23" x14ac:dyDescent="0.3">
      <c r="A121" s="1">
        <v>120</v>
      </c>
      <c r="B121" s="1" t="s">
        <v>397</v>
      </c>
      <c r="C121" s="1">
        <v>301</v>
      </c>
      <c r="D121" s="1">
        <v>1</v>
      </c>
      <c r="E121" s="1" t="s">
        <v>394</v>
      </c>
      <c r="F121" s="1">
        <v>38404563</v>
      </c>
      <c r="G121" s="1" t="s">
        <v>24</v>
      </c>
      <c r="H121" s="1" t="s">
        <v>14</v>
      </c>
      <c r="I121" s="1">
        <v>0.98499999999999999</v>
      </c>
      <c r="J121" s="1" t="s">
        <v>36</v>
      </c>
      <c r="K121" s="1" t="s">
        <v>396</v>
      </c>
      <c r="L121" s="1" t="s">
        <v>323</v>
      </c>
      <c r="M121" s="1" t="s">
        <v>613</v>
      </c>
      <c r="N121" s="1" t="s">
        <v>550</v>
      </c>
      <c r="O121" s="2">
        <v>2.4870515550859835</v>
      </c>
      <c r="P121" s="2">
        <v>2.8765817371403668</v>
      </c>
      <c r="Q121" s="2">
        <v>2.396384359153735</v>
      </c>
      <c r="R121" s="2">
        <v>2.1369492711253617</v>
      </c>
      <c r="S121" s="2">
        <v>2.3263464194988419</v>
      </c>
      <c r="T121" s="2">
        <v>2.4297718981563761</v>
      </c>
      <c r="U121" s="2">
        <f t="shared" si="2"/>
        <v>2.4421808733601109</v>
      </c>
      <c r="V121" s="3">
        <f t="shared" si="3"/>
        <v>0.24476631451846853</v>
      </c>
      <c r="W121" s="1" t="s">
        <v>561</v>
      </c>
    </row>
    <row r="122" spans="1:23" x14ac:dyDescent="0.3">
      <c r="A122" s="1">
        <v>121</v>
      </c>
      <c r="B122" s="1" t="s">
        <v>399</v>
      </c>
      <c r="C122" s="1">
        <v>301</v>
      </c>
      <c r="D122" s="1">
        <v>1</v>
      </c>
      <c r="E122" s="1" t="s">
        <v>400</v>
      </c>
      <c r="F122" s="1">
        <v>38435575</v>
      </c>
      <c r="G122" s="1" t="s">
        <v>24</v>
      </c>
      <c r="H122" s="1" t="s">
        <v>15</v>
      </c>
      <c r="I122" s="1">
        <v>1</v>
      </c>
      <c r="J122" s="1" t="s">
        <v>36</v>
      </c>
      <c r="K122" s="1" t="s">
        <v>402</v>
      </c>
      <c r="L122" s="1" t="s">
        <v>39</v>
      </c>
      <c r="M122" s="1" t="s">
        <v>614</v>
      </c>
      <c r="N122" s="1" t="s">
        <v>551</v>
      </c>
      <c r="O122" s="2">
        <v>0.91881818616141209</v>
      </c>
      <c r="P122" s="2">
        <v>0.84825381855649673</v>
      </c>
      <c r="Q122" s="2">
        <v>0.93160875206335381</v>
      </c>
      <c r="R122" s="2">
        <v>0.78633182433332216</v>
      </c>
      <c r="S122" s="2">
        <v>0.78352850232143856</v>
      </c>
      <c r="T122" s="2">
        <v>0.78396307165162238</v>
      </c>
      <c r="U122" s="2">
        <f t="shared" si="2"/>
        <v>0.84208402584794095</v>
      </c>
      <c r="V122" s="3">
        <f t="shared" si="3"/>
        <v>6.9073840100148859E-2</v>
      </c>
      <c r="W122" s="1">
        <f>_xlfn.T.TEST(O122:T122,O123:T123,2,3)</f>
        <v>9.5311645416213278E-6</v>
      </c>
    </row>
    <row r="123" spans="1:23" x14ac:dyDescent="0.3">
      <c r="A123" s="1">
        <v>122</v>
      </c>
      <c r="B123" s="1" t="s">
        <v>403</v>
      </c>
      <c r="C123" s="1">
        <v>301</v>
      </c>
      <c r="D123" s="1">
        <v>1</v>
      </c>
      <c r="E123" s="1" t="s">
        <v>400</v>
      </c>
      <c r="F123" s="1">
        <v>38435575</v>
      </c>
      <c r="G123" s="1" t="s">
        <v>24</v>
      </c>
      <c r="H123" s="1" t="s">
        <v>15</v>
      </c>
      <c r="I123" s="1">
        <v>1</v>
      </c>
      <c r="J123" s="1" t="s">
        <v>36</v>
      </c>
      <c r="K123" s="1" t="s">
        <v>402</v>
      </c>
      <c r="L123" s="1" t="s">
        <v>39</v>
      </c>
      <c r="M123" s="1" t="s">
        <v>614</v>
      </c>
      <c r="N123" s="1" t="s">
        <v>552</v>
      </c>
      <c r="O123" s="2">
        <v>1.4224527479468694</v>
      </c>
      <c r="P123" s="2">
        <v>1.6587801286251049</v>
      </c>
      <c r="Q123" s="2">
        <v>1.5303083247150195</v>
      </c>
      <c r="R123" s="2">
        <v>1.3923098401709468</v>
      </c>
      <c r="S123" s="2">
        <v>1.4469925027608985</v>
      </c>
      <c r="T123" s="2">
        <v>1.2798114970142536</v>
      </c>
      <c r="U123" s="2">
        <f t="shared" si="2"/>
        <v>1.4551091735388486</v>
      </c>
      <c r="V123" s="3">
        <f t="shared" si="3"/>
        <v>0.12879605927721621</v>
      </c>
      <c r="W123" s="1" t="s">
        <v>561</v>
      </c>
    </row>
    <row r="124" spans="1:23" x14ac:dyDescent="0.3">
      <c r="A124" s="1">
        <v>123</v>
      </c>
      <c r="B124" s="1" t="s">
        <v>405</v>
      </c>
      <c r="C124" s="1">
        <v>301</v>
      </c>
      <c r="D124" s="1">
        <v>1</v>
      </c>
      <c r="E124" s="1" t="s">
        <v>406</v>
      </c>
      <c r="F124" s="1">
        <v>38472865</v>
      </c>
      <c r="G124" s="1" t="s">
        <v>15</v>
      </c>
      <c r="H124" s="1" t="s">
        <v>72</v>
      </c>
      <c r="I124" s="1">
        <v>6.0999999999999999E-2</v>
      </c>
      <c r="J124" s="1" t="s">
        <v>36</v>
      </c>
      <c r="K124" s="1" t="s">
        <v>408</v>
      </c>
      <c r="L124" s="1" t="s">
        <v>67</v>
      </c>
      <c r="M124" s="1" t="s">
        <v>615</v>
      </c>
      <c r="N124" s="1" t="s">
        <v>553</v>
      </c>
      <c r="O124" s="2">
        <v>0.57507812119725432</v>
      </c>
      <c r="P124" s="2">
        <v>0.47277153550223622</v>
      </c>
      <c r="Q124" s="2">
        <v>0.68079101112322016</v>
      </c>
      <c r="R124" s="2">
        <v>0.3853941007353418</v>
      </c>
      <c r="S124" s="2">
        <v>0.38469538053198837</v>
      </c>
      <c r="T124" s="2">
        <v>0.29028198104825959</v>
      </c>
      <c r="U124" s="2">
        <f t="shared" si="2"/>
        <v>0.46483535502305012</v>
      </c>
      <c r="V124" s="3">
        <f t="shared" si="3"/>
        <v>0.14286742428994009</v>
      </c>
      <c r="W124" s="1">
        <f>_xlfn.T.TEST(O124:T124,O125:T125,2,3)</f>
        <v>0.96888959224722981</v>
      </c>
    </row>
    <row r="125" spans="1:23" x14ac:dyDescent="0.3">
      <c r="A125" s="1">
        <v>124</v>
      </c>
      <c r="B125" s="1" t="s">
        <v>409</v>
      </c>
      <c r="C125" s="1">
        <v>301</v>
      </c>
      <c r="D125" s="1">
        <v>1</v>
      </c>
      <c r="E125" s="1" t="s">
        <v>406</v>
      </c>
      <c r="F125" s="1">
        <v>38472865</v>
      </c>
      <c r="G125" s="1" t="s">
        <v>15</v>
      </c>
      <c r="H125" s="1" t="s">
        <v>72</v>
      </c>
      <c r="I125" s="1">
        <v>6.0999999999999999E-2</v>
      </c>
      <c r="J125" s="1" t="s">
        <v>36</v>
      </c>
      <c r="K125" s="1" t="s">
        <v>408</v>
      </c>
      <c r="L125" s="1" t="s">
        <v>67</v>
      </c>
      <c r="M125" s="1" t="s">
        <v>615</v>
      </c>
      <c r="N125" s="1" t="s">
        <v>554</v>
      </c>
      <c r="O125" s="2">
        <v>0.73288319930942958</v>
      </c>
      <c r="P125" s="2">
        <v>0.46417568940219556</v>
      </c>
      <c r="Q125" s="2">
        <v>0.65510078428838159</v>
      </c>
      <c r="R125" s="2">
        <v>0.30169275666155632</v>
      </c>
      <c r="S125" s="2">
        <v>0.29651881395192059</v>
      </c>
      <c r="T125" s="2">
        <v>0.36167626037482087</v>
      </c>
      <c r="U125" s="2">
        <f t="shared" si="2"/>
        <v>0.46867458399805079</v>
      </c>
      <c r="V125" s="3">
        <f t="shared" si="3"/>
        <v>0.18630638297762295</v>
      </c>
      <c r="W125" s="1" t="s">
        <v>561</v>
      </c>
    </row>
    <row r="126" spans="1:23" x14ac:dyDescent="0.3">
      <c r="A126" s="1">
        <v>125</v>
      </c>
      <c r="B126" s="1" t="s">
        <v>411</v>
      </c>
      <c r="C126" s="1">
        <v>503</v>
      </c>
      <c r="D126" s="1">
        <v>2</v>
      </c>
      <c r="E126" s="1" t="s">
        <v>412</v>
      </c>
      <c r="F126" s="1" t="s">
        <v>413</v>
      </c>
      <c r="G126" s="1" t="s">
        <v>359</v>
      </c>
      <c r="H126" s="1" t="s">
        <v>414</v>
      </c>
      <c r="I126" s="1" t="s">
        <v>576</v>
      </c>
      <c r="J126" s="1" t="s">
        <v>36</v>
      </c>
      <c r="K126" s="1" t="s">
        <v>408</v>
      </c>
      <c r="L126" s="1" t="s">
        <v>67</v>
      </c>
      <c r="M126" s="1" t="s">
        <v>615</v>
      </c>
      <c r="N126" s="1" t="s">
        <v>555</v>
      </c>
      <c r="O126" s="2">
        <v>4.3935281668168065</v>
      </c>
      <c r="P126" s="2">
        <v>4.5991214973657542</v>
      </c>
      <c r="Q126" s="2">
        <v>5.9890227028348759</v>
      </c>
      <c r="R126" s="2">
        <v>3.9410813984287745</v>
      </c>
      <c r="S126" s="2">
        <v>4.0897709172138361</v>
      </c>
      <c r="T126" s="2">
        <v>4.1740872267389681</v>
      </c>
      <c r="U126" s="2">
        <f t="shared" si="2"/>
        <v>4.5311019848998368</v>
      </c>
      <c r="V126" s="3">
        <f t="shared" si="3"/>
        <v>0.7509251587996536</v>
      </c>
      <c r="W126" s="1">
        <f>_xlfn.T.TEST(O126:T126,O127:T127,2,3)</f>
        <v>9.5590459703559537E-4</v>
      </c>
    </row>
    <row r="127" spans="1:23" x14ac:dyDescent="0.3">
      <c r="A127" s="1">
        <v>126</v>
      </c>
      <c r="B127" s="1" t="s">
        <v>416</v>
      </c>
      <c r="C127" s="1">
        <v>503</v>
      </c>
      <c r="D127" s="1">
        <v>2</v>
      </c>
      <c r="E127" s="1" t="s">
        <v>412</v>
      </c>
      <c r="F127" s="1" t="s">
        <v>413</v>
      </c>
      <c r="G127" s="1" t="s">
        <v>359</v>
      </c>
      <c r="H127" s="1" t="s">
        <v>414</v>
      </c>
      <c r="I127" s="1" t="s">
        <v>576</v>
      </c>
      <c r="J127" s="1" t="s">
        <v>36</v>
      </c>
      <c r="K127" s="1" t="s">
        <v>408</v>
      </c>
      <c r="L127" s="1" t="s">
        <v>67</v>
      </c>
      <c r="M127" s="1" t="s">
        <v>615</v>
      </c>
      <c r="N127" s="1" t="s">
        <v>556</v>
      </c>
      <c r="O127" s="2">
        <v>3.349965826494143</v>
      </c>
      <c r="P127" s="2">
        <v>2.695932404047952</v>
      </c>
      <c r="Q127" s="2">
        <v>3.4055955158838676</v>
      </c>
      <c r="R127" s="2">
        <v>2.2752581016977946</v>
      </c>
      <c r="S127" s="2">
        <v>2.0586130567417391</v>
      </c>
      <c r="T127" s="2">
        <v>2.4871236472569405</v>
      </c>
      <c r="U127" s="2">
        <f t="shared" si="2"/>
        <v>2.7120814253537393</v>
      </c>
      <c r="V127" s="3">
        <f t="shared" si="3"/>
        <v>0.55795351431167173</v>
      </c>
      <c r="W127" s="1" t="s">
        <v>561</v>
      </c>
    </row>
    <row r="128" spans="1:23" x14ac:dyDescent="0.3">
      <c r="A128" s="1">
        <v>127</v>
      </c>
      <c r="B128" s="1" t="s">
        <v>418</v>
      </c>
      <c r="C128" s="1">
        <v>301</v>
      </c>
      <c r="D128" s="1">
        <v>1</v>
      </c>
      <c r="E128" s="1" t="s">
        <v>419</v>
      </c>
      <c r="F128" s="1">
        <v>38477630</v>
      </c>
      <c r="G128" s="1" t="s">
        <v>24</v>
      </c>
      <c r="H128" s="1" t="s">
        <v>72</v>
      </c>
      <c r="I128" s="1">
        <v>0.20599999999999999</v>
      </c>
      <c r="J128" s="1" t="s">
        <v>36</v>
      </c>
      <c r="K128" s="1" t="s">
        <v>408</v>
      </c>
      <c r="L128" s="1" t="s">
        <v>118</v>
      </c>
      <c r="M128" s="1" t="s">
        <v>615</v>
      </c>
      <c r="N128" s="1" t="s">
        <v>557</v>
      </c>
      <c r="O128" s="2">
        <v>2.0423730333696604</v>
      </c>
      <c r="P128" s="2">
        <v>1.7198930807323456</v>
      </c>
      <c r="Q128" s="2">
        <v>2.9940547086047378</v>
      </c>
      <c r="R128" s="2">
        <v>1.8946232769962845</v>
      </c>
      <c r="S128" s="2">
        <v>1.8631751083168904</v>
      </c>
      <c r="T128" s="2">
        <v>1.8897546693026699</v>
      </c>
      <c r="U128" s="2">
        <f t="shared" si="2"/>
        <v>2.0673123128870983</v>
      </c>
      <c r="V128" s="3">
        <f t="shared" si="3"/>
        <v>0.46544468559780711</v>
      </c>
      <c r="W128" s="1">
        <f>_xlfn.T.TEST(O128:T128,O129:T129,2,3)</f>
        <v>0.11310246840832643</v>
      </c>
    </row>
    <row r="129" spans="1:23" x14ac:dyDescent="0.3">
      <c r="A129" s="1">
        <v>128</v>
      </c>
      <c r="B129" s="1" t="s">
        <v>421</v>
      </c>
      <c r="C129" s="1">
        <v>301</v>
      </c>
      <c r="D129" s="1">
        <v>1</v>
      </c>
      <c r="E129" s="1" t="s">
        <v>419</v>
      </c>
      <c r="F129" s="1">
        <v>38477630</v>
      </c>
      <c r="G129" s="1" t="s">
        <v>24</v>
      </c>
      <c r="H129" s="1" t="s">
        <v>72</v>
      </c>
      <c r="I129" s="1">
        <v>0.20599999999999999</v>
      </c>
      <c r="J129" s="1" t="s">
        <v>36</v>
      </c>
      <c r="K129" s="1" t="s">
        <v>408</v>
      </c>
      <c r="L129" s="1" t="s">
        <v>118</v>
      </c>
      <c r="M129" s="1" t="s">
        <v>615</v>
      </c>
      <c r="N129" s="1" t="s">
        <v>558</v>
      </c>
      <c r="O129" s="2">
        <v>3.3475838253957071</v>
      </c>
      <c r="P129" s="2">
        <v>2.5181258105545932</v>
      </c>
      <c r="Q129" s="2">
        <v>3.6221362712290843</v>
      </c>
      <c r="R129" s="2">
        <v>2.1492206755789081</v>
      </c>
      <c r="S129" s="2">
        <v>2.1625960677626521</v>
      </c>
      <c r="T129" s="2">
        <v>2.1078344659746637</v>
      </c>
      <c r="U129" s="2">
        <f t="shared" si="2"/>
        <v>2.6512495194159347</v>
      </c>
      <c r="V129" s="3">
        <f t="shared" si="3"/>
        <v>0.66803286574168075</v>
      </c>
      <c r="W129" s="1" t="s">
        <v>561</v>
      </c>
    </row>
    <row r="130" spans="1:23" x14ac:dyDescent="0.3">
      <c r="A130" s="1">
        <v>129</v>
      </c>
      <c r="B130" s="1" t="s">
        <v>423</v>
      </c>
      <c r="C130" s="1">
        <v>301</v>
      </c>
      <c r="D130" s="1">
        <v>1</v>
      </c>
      <c r="E130" s="1" t="s">
        <v>424</v>
      </c>
      <c r="F130" s="1">
        <v>38478786</v>
      </c>
      <c r="G130" s="1" t="s">
        <v>72</v>
      </c>
      <c r="H130" s="1" t="s">
        <v>15</v>
      </c>
      <c r="I130" s="1">
        <v>0.30499999999999999</v>
      </c>
      <c r="J130" s="1" t="s">
        <v>36</v>
      </c>
      <c r="K130" s="1" t="s">
        <v>408</v>
      </c>
      <c r="L130" s="1" t="s">
        <v>118</v>
      </c>
      <c r="M130" s="1" t="s">
        <v>615</v>
      </c>
      <c r="N130" s="1" t="s">
        <v>559</v>
      </c>
      <c r="O130" s="2">
        <v>1.2797382941332662</v>
      </c>
      <c r="P130" s="2">
        <v>1.2170305061860307</v>
      </c>
      <c r="Q130" s="2">
        <v>1.3392610054883018</v>
      </c>
      <c r="R130" s="2">
        <v>0.71448715023282494</v>
      </c>
      <c r="S130" s="2">
        <v>0.83891659655840822</v>
      </c>
      <c r="T130" s="2">
        <v>0.89020609183938093</v>
      </c>
      <c r="U130" s="2">
        <f t="shared" si="2"/>
        <v>1.0466066074063687</v>
      </c>
      <c r="V130" s="3">
        <f t="shared" si="3"/>
        <v>0.26341635524658824</v>
      </c>
      <c r="W130" s="1">
        <f>_xlfn.T.TEST(O130:T130,O131:T131,2,3)</f>
        <v>3.4166948735520411E-2</v>
      </c>
    </row>
    <row r="131" spans="1:23" x14ac:dyDescent="0.3">
      <c r="A131" s="1">
        <v>130</v>
      </c>
      <c r="B131" s="1" t="s">
        <v>426</v>
      </c>
      <c r="C131" s="1">
        <v>301</v>
      </c>
      <c r="D131" s="1">
        <v>1</v>
      </c>
      <c r="E131" s="1" t="s">
        <v>424</v>
      </c>
      <c r="F131" s="1">
        <v>38478786</v>
      </c>
      <c r="G131" s="1" t="s">
        <v>72</v>
      </c>
      <c r="H131" s="1" t="s">
        <v>15</v>
      </c>
      <c r="I131" s="1">
        <v>0.30499999999999999</v>
      </c>
      <c r="J131" s="1" t="s">
        <v>36</v>
      </c>
      <c r="K131" s="1" t="s">
        <v>408</v>
      </c>
      <c r="L131" s="1" t="s">
        <v>118</v>
      </c>
      <c r="M131" s="1" t="s">
        <v>615</v>
      </c>
      <c r="N131" s="1" t="s">
        <v>560</v>
      </c>
      <c r="O131" s="2">
        <v>1.4750471907669769</v>
      </c>
      <c r="P131" s="2">
        <v>1.7373097195245719</v>
      </c>
      <c r="Q131" s="2">
        <v>1.5744203255098026</v>
      </c>
      <c r="R131" s="2">
        <v>1.2050760006464232</v>
      </c>
      <c r="S131" s="2">
        <v>1.1199588197023953</v>
      </c>
      <c r="T131" s="2">
        <v>1.294029145570645</v>
      </c>
      <c r="U131" s="2">
        <f t="shared" si="2"/>
        <v>1.4009735336201359</v>
      </c>
      <c r="V131" s="3">
        <f t="shared" si="3"/>
        <v>0.2355737426995646</v>
      </c>
      <c r="W131" s="1" t="s">
        <v>561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C881-7AFF-4FDC-A895-558C76420353}">
  <sheetPr>
    <tabColor theme="6" tint="0.39997558519241921"/>
  </sheetPr>
  <dimension ref="A1:U131"/>
  <sheetViews>
    <sheetView zoomScale="70" zoomScaleNormal="70" workbookViewId="0">
      <selection activeCell="O1" sqref="O1"/>
    </sheetView>
  </sheetViews>
  <sheetFormatPr defaultColWidth="9.109375" defaultRowHeight="14.4" x14ac:dyDescent="0.3"/>
  <cols>
    <col min="1" max="1" width="4.44140625" style="1" bestFit="1" customWidth="1"/>
    <col min="2" max="2" width="33.88671875" style="1" bestFit="1" customWidth="1"/>
    <col min="3" max="3" width="5.88671875" style="1" customWidth="1"/>
    <col min="4" max="4" width="7.33203125" style="1" customWidth="1"/>
    <col min="5" max="5" width="53.33203125" style="1" customWidth="1"/>
    <col min="6" max="6" width="44.44140625" style="1" customWidth="1"/>
    <col min="7" max="7" width="15" style="1" customWidth="1"/>
    <col min="8" max="8" width="14" style="1" customWidth="1"/>
    <col min="9" max="9" width="29.5546875" style="1" bestFit="1" customWidth="1"/>
    <col min="10" max="10" width="17" style="1" customWidth="1"/>
    <col min="11" max="11" width="255.6640625" style="1" hidden="1" customWidth="1"/>
    <col min="12" max="12" width="42.5546875" style="1" customWidth="1"/>
    <col min="13" max="13" width="30.6640625" style="1" bestFit="1" customWidth="1"/>
    <col min="14" max="14" width="11.44140625" style="1"/>
    <col min="15" max="15" width="7.33203125" style="1" bestFit="1" customWidth="1"/>
    <col min="16" max="17" width="16.6640625" style="1" customWidth="1"/>
    <col min="18" max="18" width="16.5546875" style="1" customWidth="1"/>
    <col min="19" max="19" width="14.88671875" style="1" bestFit="1" customWidth="1"/>
    <col min="20" max="20" width="19.109375" style="1" bestFit="1" customWidth="1"/>
    <col min="21" max="21" width="14.88671875" style="1" bestFit="1" customWidth="1"/>
    <col min="22" max="16384" width="9.10937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577</v>
      </c>
      <c r="O1" s="1" t="s">
        <v>756</v>
      </c>
      <c r="P1" s="1" t="s">
        <v>428</v>
      </c>
      <c r="Q1" s="1" t="s">
        <v>429</v>
      </c>
      <c r="R1" s="1" t="s">
        <v>430</v>
      </c>
      <c r="S1" s="1" t="s">
        <v>618</v>
      </c>
      <c r="T1" s="1" t="s">
        <v>617</v>
      </c>
      <c r="U1" s="1" t="s">
        <v>619</v>
      </c>
    </row>
    <row r="2" spans="1:21" x14ac:dyDescent="0.3">
      <c r="A2" s="1">
        <v>1</v>
      </c>
      <c r="B2" s="1" t="s">
        <v>12</v>
      </c>
      <c r="C2" s="1">
        <v>301</v>
      </c>
      <c r="D2" s="1">
        <v>1</v>
      </c>
      <c r="E2" s="1" t="s">
        <v>13</v>
      </c>
      <c r="F2" s="1">
        <v>17009824</v>
      </c>
      <c r="G2" s="1" t="s">
        <v>14</v>
      </c>
      <c r="H2" s="1" t="s">
        <v>15</v>
      </c>
      <c r="I2" s="1">
        <v>0.72499999999999998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578</v>
      </c>
      <c r="O2" s="1" t="s">
        <v>431</v>
      </c>
      <c r="P2" s="2">
        <v>1.6737319735323535</v>
      </c>
      <c r="Q2" s="2">
        <v>1.5779412283271168</v>
      </c>
      <c r="R2" s="2">
        <v>1.9351942695172601</v>
      </c>
      <c r="S2" s="2">
        <f t="shared" ref="S2:S8" si="0">AVERAGE(P2:R2)</f>
        <v>1.7289558237922436</v>
      </c>
      <c r="T2" s="3">
        <f>STDEV(P2:R2)</f>
        <v>0.18491806047016238</v>
      </c>
      <c r="U2" s="1">
        <f>_xlfn.T.TEST(P2:R2,P3:R3,2,3)</f>
        <v>1.3170633258974286E-2</v>
      </c>
    </row>
    <row r="3" spans="1:21" x14ac:dyDescent="0.3">
      <c r="A3" s="1">
        <v>2</v>
      </c>
      <c r="B3" s="1" t="s">
        <v>20</v>
      </c>
      <c r="C3" s="1">
        <v>301</v>
      </c>
      <c r="D3" s="1">
        <v>1</v>
      </c>
      <c r="E3" s="1" t="s">
        <v>13</v>
      </c>
      <c r="F3" s="1">
        <v>17009824</v>
      </c>
      <c r="G3" s="1" t="s">
        <v>14</v>
      </c>
      <c r="H3" s="1" t="s">
        <v>15</v>
      </c>
      <c r="I3" s="1">
        <v>0.72499999999999998</v>
      </c>
      <c r="J3" s="1" t="s">
        <v>16</v>
      </c>
      <c r="K3" s="1" t="s">
        <v>21</v>
      </c>
      <c r="L3" s="1" t="s">
        <v>18</v>
      </c>
      <c r="M3" s="1" t="s">
        <v>19</v>
      </c>
      <c r="N3" s="1" t="s">
        <v>578</v>
      </c>
      <c r="O3" s="1" t="s">
        <v>432</v>
      </c>
      <c r="P3" s="2">
        <v>0.81969734256257021</v>
      </c>
      <c r="Q3" s="2">
        <v>0.865286846419697</v>
      </c>
      <c r="R3" s="2">
        <v>0.84189880000511108</v>
      </c>
      <c r="S3" s="2">
        <f t="shared" si="0"/>
        <v>0.84229432966245943</v>
      </c>
      <c r="T3" s="3">
        <f t="shared" ref="T3:T66" si="1">STDEV(P3:R3)</f>
        <v>2.2797325463025837E-2</v>
      </c>
      <c r="U3" s="1" t="s">
        <v>561</v>
      </c>
    </row>
    <row r="4" spans="1:21" x14ac:dyDescent="0.3">
      <c r="A4" s="1">
        <v>3</v>
      </c>
      <c r="B4" s="1" t="s">
        <v>22</v>
      </c>
      <c r="C4" s="1">
        <v>301</v>
      </c>
      <c r="D4" s="1">
        <v>1</v>
      </c>
      <c r="E4" s="1" t="s">
        <v>23</v>
      </c>
      <c r="F4" s="1">
        <v>54764162</v>
      </c>
      <c r="G4" s="1" t="s">
        <v>24</v>
      </c>
      <c r="H4" s="1" t="s">
        <v>15</v>
      </c>
      <c r="I4" s="1">
        <v>0.13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579</v>
      </c>
      <c r="O4" s="1" t="s">
        <v>433</v>
      </c>
      <c r="P4" s="2">
        <v>0.33032472173193328</v>
      </c>
      <c r="Q4" s="2">
        <v>0.36842462614958643</v>
      </c>
      <c r="R4" s="2">
        <v>0.37254297752676813</v>
      </c>
      <c r="S4" s="2">
        <f t="shared" si="0"/>
        <v>0.35709744180276259</v>
      </c>
      <c r="T4" s="3">
        <f t="shared" si="1"/>
        <v>2.3277115575382711E-2</v>
      </c>
      <c r="U4" s="1">
        <f>_xlfn.T.TEST(P4:R4,P5:R5,2,3)</f>
        <v>3.3184625971286838E-2</v>
      </c>
    </row>
    <row r="5" spans="1:21" x14ac:dyDescent="0.3">
      <c r="A5" s="1">
        <v>4</v>
      </c>
      <c r="B5" s="1" t="s">
        <v>29</v>
      </c>
      <c r="C5" s="1">
        <v>301</v>
      </c>
      <c r="D5" s="1">
        <v>1</v>
      </c>
      <c r="E5" s="1" t="s">
        <v>23</v>
      </c>
      <c r="F5" s="1">
        <v>54764162</v>
      </c>
      <c r="G5" s="1" t="s">
        <v>24</v>
      </c>
      <c r="H5" s="1" t="s">
        <v>15</v>
      </c>
      <c r="I5" s="1">
        <v>0.13</v>
      </c>
      <c r="J5" s="1" t="s">
        <v>25</v>
      </c>
      <c r="K5" s="1" t="s">
        <v>30</v>
      </c>
      <c r="L5" s="1" t="s">
        <v>27</v>
      </c>
      <c r="M5" s="1" t="s">
        <v>28</v>
      </c>
      <c r="N5" s="1" t="s">
        <v>579</v>
      </c>
      <c r="O5" s="1" t="s">
        <v>434</v>
      </c>
      <c r="P5" s="2">
        <v>0.39307124029316232</v>
      </c>
      <c r="Q5" s="2">
        <v>0.4174819429310947</v>
      </c>
      <c r="R5" s="2">
        <v>0.43492291524700771</v>
      </c>
      <c r="S5" s="2">
        <f t="shared" si="0"/>
        <v>0.41515869949042156</v>
      </c>
      <c r="T5" s="3">
        <f t="shared" si="1"/>
        <v>2.1022339764499468E-2</v>
      </c>
      <c r="U5" s="1" t="s">
        <v>561</v>
      </c>
    </row>
    <row r="6" spans="1:21" x14ac:dyDescent="0.3">
      <c r="A6" s="1">
        <v>5</v>
      </c>
      <c r="B6" s="1" t="s">
        <v>31</v>
      </c>
      <c r="C6" s="1">
        <v>583</v>
      </c>
      <c r="D6" s="1">
        <v>2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567</v>
      </c>
      <c r="J6" s="1" t="s">
        <v>36</v>
      </c>
      <c r="K6" s="1" t="s">
        <v>37</v>
      </c>
      <c r="L6" s="1" t="s">
        <v>38</v>
      </c>
      <c r="M6" s="1" t="s">
        <v>39</v>
      </c>
      <c r="N6" s="1" t="s">
        <v>580</v>
      </c>
      <c r="O6" s="1" t="s">
        <v>435</v>
      </c>
      <c r="P6" s="2">
        <v>1.3582480973864433</v>
      </c>
      <c r="Q6" s="2">
        <v>1.493851631033428</v>
      </c>
      <c r="R6" s="2">
        <v>1.470611206462672</v>
      </c>
      <c r="S6" s="2">
        <f t="shared" si="0"/>
        <v>1.4409036449608477</v>
      </c>
      <c r="T6" s="3">
        <f t="shared" si="1"/>
        <v>7.2518852667259784E-2</v>
      </c>
      <c r="U6" s="1">
        <f>_xlfn.T.TEST(P6:R6,P7:R7,2,3)</f>
        <v>2.2393836473512559E-2</v>
      </c>
    </row>
    <row r="7" spans="1:21" x14ac:dyDescent="0.3">
      <c r="A7" s="1">
        <v>6</v>
      </c>
      <c r="B7" s="1" t="s">
        <v>40</v>
      </c>
      <c r="C7" s="1">
        <v>583</v>
      </c>
      <c r="D7" s="1">
        <v>2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567</v>
      </c>
      <c r="J7" s="1" t="s">
        <v>36</v>
      </c>
      <c r="K7" s="1" t="s">
        <v>41</v>
      </c>
      <c r="L7" s="1" t="s">
        <v>38</v>
      </c>
      <c r="M7" s="1" t="s">
        <v>39</v>
      </c>
      <c r="N7" s="1" t="s">
        <v>580</v>
      </c>
      <c r="O7" s="1" t="s">
        <v>436</v>
      </c>
      <c r="P7" s="2">
        <v>1.1932837429062555</v>
      </c>
      <c r="Q7" s="2">
        <v>1.2708277949958673</v>
      </c>
      <c r="R7" s="2">
        <v>1.2534052763719381</v>
      </c>
      <c r="S7" s="2">
        <f t="shared" si="0"/>
        <v>1.2391722714246869</v>
      </c>
      <c r="T7" s="3">
        <f t="shared" si="1"/>
        <v>4.068419626821284E-2</v>
      </c>
      <c r="U7" s="1" t="s">
        <v>561</v>
      </c>
    </row>
    <row r="8" spans="1:21" x14ac:dyDescent="0.3">
      <c r="A8" s="1">
        <v>7</v>
      </c>
      <c r="B8" s="1" t="s">
        <v>42</v>
      </c>
      <c r="C8" s="1">
        <v>301</v>
      </c>
      <c r="D8" s="1">
        <v>1</v>
      </c>
      <c r="E8" s="1" t="s">
        <v>43</v>
      </c>
      <c r="F8" s="1">
        <v>10331310</v>
      </c>
      <c r="G8" s="1" t="s">
        <v>15</v>
      </c>
      <c r="H8" s="1" t="s">
        <v>24</v>
      </c>
      <c r="I8" s="1">
        <v>0.19600000000000001</v>
      </c>
      <c r="J8" s="1" t="s">
        <v>44</v>
      </c>
      <c r="K8" s="1" t="s">
        <v>45</v>
      </c>
      <c r="L8" s="1" t="s">
        <v>46</v>
      </c>
      <c r="M8" s="1" t="s">
        <v>47</v>
      </c>
      <c r="N8" s="1" t="s">
        <v>581</v>
      </c>
      <c r="O8" s="1" t="s">
        <v>437</v>
      </c>
      <c r="P8" s="2">
        <v>0.13733292047821674</v>
      </c>
      <c r="Q8" s="2">
        <v>0.13731363962442045</v>
      </c>
      <c r="R8" s="2">
        <v>0.14135026608057932</v>
      </c>
      <c r="S8" s="2">
        <f t="shared" si="0"/>
        <v>0.13866560872773884</v>
      </c>
      <c r="T8" s="3">
        <f t="shared" si="1"/>
        <v>2.3250014547202208E-3</v>
      </c>
      <c r="U8" s="1">
        <f>_xlfn.T.TEST(P8:R8,P9:R9,2,3)</f>
        <v>8.0163007789555346E-2</v>
      </c>
    </row>
    <row r="9" spans="1:21" x14ac:dyDescent="0.3">
      <c r="A9" s="1">
        <v>8</v>
      </c>
      <c r="B9" s="1" t="s">
        <v>48</v>
      </c>
      <c r="C9" s="1">
        <v>301</v>
      </c>
      <c r="D9" s="1">
        <v>1</v>
      </c>
      <c r="E9" s="1" t="s">
        <v>43</v>
      </c>
      <c r="F9" s="1">
        <v>10331310</v>
      </c>
      <c r="G9" s="1" t="s">
        <v>15</v>
      </c>
      <c r="H9" s="1" t="s">
        <v>24</v>
      </c>
      <c r="I9" s="1">
        <v>0.19600000000000001</v>
      </c>
      <c r="J9" s="1" t="s">
        <v>44</v>
      </c>
      <c r="K9" s="1" t="s">
        <v>49</v>
      </c>
      <c r="L9" s="1" t="s">
        <v>46</v>
      </c>
      <c r="M9" s="1" t="s">
        <v>47</v>
      </c>
      <c r="N9" s="1" t="s">
        <v>581</v>
      </c>
      <c r="O9" s="1" t="s">
        <v>438</v>
      </c>
      <c r="P9" s="2">
        <v>0.18613451737766407</v>
      </c>
      <c r="Q9" s="2">
        <v>0.19813347071687856</v>
      </c>
      <c r="R9" s="2">
        <v>0.1557596855707149</v>
      </c>
      <c r="S9" s="2">
        <f t="shared" ref="S9:S68" si="2">AVERAGE(P9:R9)</f>
        <v>0.18000922455508586</v>
      </c>
      <c r="T9" s="3">
        <f t="shared" si="1"/>
        <v>2.1840875120403398E-2</v>
      </c>
      <c r="U9" s="1" t="s">
        <v>561</v>
      </c>
    </row>
    <row r="10" spans="1:21" x14ac:dyDescent="0.3">
      <c r="A10" s="1">
        <v>9</v>
      </c>
      <c r="B10" s="1" t="s">
        <v>50</v>
      </c>
      <c r="C10" s="1">
        <v>301</v>
      </c>
      <c r="D10" s="1">
        <v>1</v>
      </c>
      <c r="E10" s="1" t="s">
        <v>51</v>
      </c>
      <c r="F10" s="1">
        <v>105337189</v>
      </c>
      <c r="G10" s="1" t="s">
        <v>15</v>
      </c>
      <c r="H10" s="1" t="s">
        <v>24</v>
      </c>
      <c r="I10" s="1">
        <v>0.34499999999999997</v>
      </c>
      <c r="J10" s="1" t="s">
        <v>44</v>
      </c>
      <c r="K10" s="1" t="s">
        <v>52</v>
      </c>
      <c r="L10" s="1" t="s">
        <v>53</v>
      </c>
      <c r="M10" s="1" t="s">
        <v>54</v>
      </c>
      <c r="N10" s="1" t="s">
        <v>582</v>
      </c>
      <c r="O10" s="1" t="s">
        <v>439</v>
      </c>
      <c r="P10" s="2">
        <v>2.4148637319779156</v>
      </c>
      <c r="Q10" s="2">
        <v>2.5028579078086843</v>
      </c>
      <c r="R10" s="2">
        <v>2.2213905954278754</v>
      </c>
      <c r="S10" s="2">
        <f>AVERAGE(P10:R10)</f>
        <v>2.3797040784048251</v>
      </c>
      <c r="T10" s="3">
        <f t="shared" si="1"/>
        <v>0.14398997504775729</v>
      </c>
      <c r="U10" s="1">
        <f>_xlfn.T.TEST(P10:R10,P11:R11,2,3)</f>
        <v>7.1014001932850745E-3</v>
      </c>
    </row>
    <row r="11" spans="1:21" x14ac:dyDescent="0.3">
      <c r="A11" s="1">
        <v>10</v>
      </c>
      <c r="B11" s="1" t="s">
        <v>55</v>
      </c>
      <c r="C11" s="1">
        <v>301</v>
      </c>
      <c r="D11" s="1">
        <v>1</v>
      </c>
      <c r="E11" s="1" t="s">
        <v>51</v>
      </c>
      <c r="F11" s="1">
        <v>105337189</v>
      </c>
      <c r="G11" s="1" t="s">
        <v>15</v>
      </c>
      <c r="H11" s="1" t="s">
        <v>24</v>
      </c>
      <c r="I11" s="1">
        <v>0.34499999999999997</v>
      </c>
      <c r="J11" s="1" t="s">
        <v>44</v>
      </c>
      <c r="K11" s="1" t="s">
        <v>56</v>
      </c>
      <c r="L11" s="1" t="s">
        <v>53</v>
      </c>
      <c r="M11" s="1" t="s">
        <v>54</v>
      </c>
      <c r="N11" s="1" t="s">
        <v>582</v>
      </c>
      <c r="O11" s="1" t="s">
        <v>440</v>
      </c>
      <c r="P11" s="2">
        <v>2.8079850396606836</v>
      </c>
      <c r="Q11" s="2">
        <v>2.992322720099367</v>
      </c>
      <c r="R11" s="2">
        <v>3.0201630189869983</v>
      </c>
      <c r="S11" s="2">
        <f>AVERAGE(P11:R11)</f>
        <v>2.9401569262490166</v>
      </c>
      <c r="T11" s="3">
        <f t="shared" si="1"/>
        <v>0.11530752908538747</v>
      </c>
      <c r="U11" s="1" t="s">
        <v>561</v>
      </c>
    </row>
    <row r="12" spans="1:21" x14ac:dyDescent="0.3">
      <c r="A12" s="1">
        <v>11</v>
      </c>
      <c r="B12" s="1" t="s">
        <v>57</v>
      </c>
      <c r="C12" s="1">
        <v>301</v>
      </c>
      <c r="D12" s="1">
        <v>1</v>
      </c>
      <c r="E12" s="1" t="s">
        <v>58</v>
      </c>
      <c r="F12" s="1">
        <v>145366886</v>
      </c>
      <c r="G12" s="1" t="s">
        <v>14</v>
      </c>
      <c r="H12" s="1" t="s">
        <v>15</v>
      </c>
      <c r="I12" s="1">
        <v>0.83899999999999997</v>
      </c>
      <c r="J12" s="1" t="s">
        <v>36</v>
      </c>
      <c r="K12" s="1" t="s">
        <v>59</v>
      </c>
      <c r="L12" s="1" t="s">
        <v>60</v>
      </c>
      <c r="M12" s="1" t="s">
        <v>19</v>
      </c>
      <c r="N12" s="1" t="s">
        <v>583</v>
      </c>
      <c r="O12" s="1" t="s">
        <v>441</v>
      </c>
      <c r="P12" s="2">
        <v>0.79067607694436437</v>
      </c>
      <c r="Q12" s="2">
        <v>0.81719276249363049</v>
      </c>
      <c r="R12" s="2">
        <v>0.76499021174157433</v>
      </c>
      <c r="S12" s="2">
        <f>AVERAGE(P12:R12)</f>
        <v>0.79095301705985632</v>
      </c>
      <c r="T12" s="3">
        <f t="shared" si="1"/>
        <v>2.6102377250471386E-2</v>
      </c>
      <c r="U12" s="1">
        <f>_xlfn.T.TEST(P12:R12,P13:R13,2,3)</f>
        <v>3.7820739996973052E-2</v>
      </c>
    </row>
    <row r="13" spans="1:21" x14ac:dyDescent="0.3">
      <c r="A13" s="1">
        <v>12</v>
      </c>
      <c r="B13" s="1" t="s">
        <v>61</v>
      </c>
      <c r="C13" s="1">
        <v>301</v>
      </c>
      <c r="D13" s="1">
        <v>1</v>
      </c>
      <c r="E13" s="1" t="s">
        <v>58</v>
      </c>
      <c r="F13" s="1">
        <v>145366886</v>
      </c>
      <c r="G13" s="1" t="s">
        <v>14</v>
      </c>
      <c r="H13" s="1" t="s">
        <v>15</v>
      </c>
      <c r="I13" s="1">
        <v>0.83899999999999997</v>
      </c>
      <c r="J13" s="1" t="s">
        <v>36</v>
      </c>
      <c r="K13" s="1" t="s">
        <v>62</v>
      </c>
      <c r="L13" s="1" t="s">
        <v>60</v>
      </c>
      <c r="M13" s="1" t="s">
        <v>19</v>
      </c>
      <c r="N13" s="1" t="s">
        <v>583</v>
      </c>
      <c r="O13" s="1" t="s">
        <v>442</v>
      </c>
      <c r="P13" s="2">
        <v>0.85433417763927422</v>
      </c>
      <c r="Q13" s="2">
        <v>0.86689071080254709</v>
      </c>
      <c r="R13" s="2">
        <v>0.85971642788177793</v>
      </c>
      <c r="S13" s="2">
        <f>AVERAGE(P13:R13)</f>
        <v>0.86031377210786653</v>
      </c>
      <c r="T13" s="3">
        <f t="shared" si="1"/>
        <v>6.299543345626238E-3</v>
      </c>
      <c r="U13" s="1" t="s">
        <v>561</v>
      </c>
    </row>
    <row r="14" spans="1:21" x14ac:dyDescent="0.3">
      <c r="A14" s="1">
        <v>13</v>
      </c>
      <c r="B14" s="1" t="s">
        <v>63</v>
      </c>
      <c r="C14" s="1">
        <v>301</v>
      </c>
      <c r="D14" s="1">
        <v>1</v>
      </c>
      <c r="E14" s="1" t="s">
        <v>64</v>
      </c>
      <c r="F14" s="1">
        <v>191151202</v>
      </c>
      <c r="G14" s="1" t="s">
        <v>24</v>
      </c>
      <c r="H14" s="1" t="s">
        <v>15</v>
      </c>
      <c r="I14" s="1">
        <v>0.58099999999999996</v>
      </c>
      <c r="J14" s="1" t="s">
        <v>16</v>
      </c>
      <c r="K14" s="1" t="s">
        <v>65</v>
      </c>
      <c r="L14" s="1" t="s">
        <v>66</v>
      </c>
      <c r="M14" s="1" t="s">
        <v>67</v>
      </c>
      <c r="N14" s="1" t="s">
        <v>584</v>
      </c>
      <c r="O14" s="1" t="s">
        <v>443</v>
      </c>
      <c r="P14" s="2">
        <v>0.75783264056521049</v>
      </c>
      <c r="Q14" s="2">
        <v>0.76488972976806058</v>
      </c>
      <c r="R14" s="2">
        <v>0.76673210047379536</v>
      </c>
      <c r="S14" s="2">
        <f t="shared" si="2"/>
        <v>0.76315149026902207</v>
      </c>
      <c r="T14" s="3">
        <f t="shared" si="1"/>
        <v>4.6974678373715778E-3</v>
      </c>
      <c r="U14" s="1">
        <f>_xlfn.T.TEST(P14:R14,P15:R15,2,3)</f>
        <v>1.0400344254055331E-3</v>
      </c>
    </row>
    <row r="15" spans="1:21" x14ac:dyDescent="0.3">
      <c r="A15" s="1">
        <v>14</v>
      </c>
      <c r="B15" s="1" t="s">
        <v>68</v>
      </c>
      <c r="C15" s="1">
        <v>301</v>
      </c>
      <c r="D15" s="1">
        <v>1</v>
      </c>
      <c r="E15" s="1" t="s">
        <v>64</v>
      </c>
      <c r="F15" s="1">
        <v>191151202</v>
      </c>
      <c r="G15" s="1" t="s">
        <v>24</v>
      </c>
      <c r="H15" s="1" t="s">
        <v>15</v>
      </c>
      <c r="I15" s="1">
        <v>0.58099999999999996</v>
      </c>
      <c r="J15" s="1" t="s">
        <v>16</v>
      </c>
      <c r="K15" s="1" t="s">
        <v>69</v>
      </c>
      <c r="L15" s="1" t="s">
        <v>66</v>
      </c>
      <c r="M15" s="1" t="s">
        <v>67</v>
      </c>
      <c r="N15" s="1" t="s">
        <v>584</v>
      </c>
      <c r="O15" s="1" t="s">
        <v>444</v>
      </c>
      <c r="P15" s="2">
        <v>1.0719531033049721</v>
      </c>
      <c r="Q15" s="2">
        <v>1.0347522090219252</v>
      </c>
      <c r="R15" s="2">
        <v>1.0694454332757635</v>
      </c>
      <c r="S15" s="2">
        <f t="shared" si="2"/>
        <v>1.0587169152008871</v>
      </c>
      <c r="T15" s="3">
        <f t="shared" si="1"/>
        <v>2.0791884448669428E-2</v>
      </c>
      <c r="U15" s="1" t="s">
        <v>561</v>
      </c>
    </row>
    <row r="16" spans="1:21" x14ac:dyDescent="0.3">
      <c r="A16" s="1">
        <v>15</v>
      </c>
      <c r="B16" s="1" t="s">
        <v>70</v>
      </c>
      <c r="C16" s="1">
        <v>301</v>
      </c>
      <c r="D16" s="1">
        <v>1</v>
      </c>
      <c r="E16" s="1" t="s">
        <v>71</v>
      </c>
      <c r="F16" s="1">
        <v>82899017</v>
      </c>
      <c r="G16" s="1" t="s">
        <v>72</v>
      </c>
      <c r="H16" s="1" t="s">
        <v>14</v>
      </c>
      <c r="I16" s="1">
        <v>5.3999999999999999E-2</v>
      </c>
      <c r="J16" s="1" t="s">
        <v>16</v>
      </c>
      <c r="K16" s="1" t="s">
        <v>73</v>
      </c>
      <c r="L16" s="1" t="s">
        <v>74</v>
      </c>
      <c r="M16" s="1" t="s">
        <v>75</v>
      </c>
      <c r="N16" s="1" t="s">
        <v>585</v>
      </c>
      <c r="O16" s="1" t="s">
        <v>445</v>
      </c>
      <c r="P16" s="2">
        <v>0.79220790409709874</v>
      </c>
      <c r="Q16" s="2">
        <v>0.87064782707148802</v>
      </c>
      <c r="R16" s="2">
        <v>0.81857594198050687</v>
      </c>
      <c r="S16" s="2">
        <f t="shared" si="2"/>
        <v>0.82714389104969788</v>
      </c>
      <c r="T16" s="3">
        <f t="shared" si="1"/>
        <v>3.9915694814148223E-2</v>
      </c>
      <c r="U16" s="1">
        <f>_xlfn.T.TEST(P16:R16,P17:R17,2,3)</f>
        <v>1.1222448768539771E-3</v>
      </c>
    </row>
    <row r="17" spans="1:21" x14ac:dyDescent="0.3">
      <c r="A17" s="1">
        <v>16</v>
      </c>
      <c r="B17" s="1" t="s">
        <v>76</v>
      </c>
      <c r="C17" s="1">
        <v>301</v>
      </c>
      <c r="D17" s="1">
        <v>1</v>
      </c>
      <c r="E17" s="1" t="s">
        <v>71</v>
      </c>
      <c r="F17" s="1">
        <v>82899017</v>
      </c>
      <c r="G17" s="1" t="s">
        <v>72</v>
      </c>
      <c r="H17" s="1" t="s">
        <v>14</v>
      </c>
      <c r="I17" s="1">
        <v>5.3999999999999999E-2</v>
      </c>
      <c r="J17" s="1" t="s">
        <v>16</v>
      </c>
      <c r="K17" s="1" t="s">
        <v>77</v>
      </c>
      <c r="L17" s="1" t="s">
        <v>74</v>
      </c>
      <c r="M17" s="1" t="s">
        <v>75</v>
      </c>
      <c r="N17" s="1" t="s">
        <v>585</v>
      </c>
      <c r="O17" s="1" t="s">
        <v>446</v>
      </c>
      <c r="P17" s="2">
        <v>0.53461735930116994</v>
      </c>
      <c r="Q17" s="2">
        <v>0.60413396341519698</v>
      </c>
      <c r="R17" s="2">
        <v>0.54249938231542871</v>
      </c>
      <c r="S17" s="2">
        <f t="shared" si="2"/>
        <v>0.56041690167726521</v>
      </c>
      <c r="T17" s="3">
        <f t="shared" si="1"/>
        <v>3.8064651409778209E-2</v>
      </c>
      <c r="U17" s="1" t="s">
        <v>561</v>
      </c>
    </row>
    <row r="18" spans="1:21" x14ac:dyDescent="0.3">
      <c r="A18" s="1">
        <v>17</v>
      </c>
      <c r="B18" s="1" t="s">
        <v>78</v>
      </c>
      <c r="C18" s="1">
        <v>301</v>
      </c>
      <c r="D18" s="1">
        <v>1</v>
      </c>
      <c r="E18" s="1" t="s">
        <v>79</v>
      </c>
      <c r="F18" s="1">
        <v>82900171</v>
      </c>
      <c r="G18" s="1" t="s">
        <v>72</v>
      </c>
      <c r="H18" s="1" t="s">
        <v>14</v>
      </c>
      <c r="I18" s="1">
        <v>0.159</v>
      </c>
      <c r="J18" s="1" t="s">
        <v>16</v>
      </c>
      <c r="K18" s="1" t="s">
        <v>80</v>
      </c>
      <c r="L18" s="1" t="s">
        <v>81</v>
      </c>
      <c r="M18" s="1" t="s">
        <v>54</v>
      </c>
      <c r="N18" s="1" t="s">
        <v>585</v>
      </c>
      <c r="O18" s="1" t="s">
        <v>447</v>
      </c>
      <c r="P18" s="2">
        <v>0.39895642826769789</v>
      </c>
      <c r="Q18" s="2">
        <v>0.46783221024573141</v>
      </c>
      <c r="R18" s="2">
        <v>0.43289740666339854</v>
      </c>
      <c r="S18" s="2">
        <f>AVERAGE(P18:R18)</f>
        <v>0.4332286817256093</v>
      </c>
      <c r="T18" s="3">
        <f t="shared" si="1"/>
        <v>3.4439085980126322E-2</v>
      </c>
      <c r="U18" s="1">
        <f>_xlfn.T.TEST(P18:R18,P19:R19,2,3)</f>
        <v>3.0759458472701475E-2</v>
      </c>
    </row>
    <row r="19" spans="1:21" x14ac:dyDescent="0.3">
      <c r="A19" s="1">
        <v>18</v>
      </c>
      <c r="B19" s="1" t="s">
        <v>82</v>
      </c>
      <c r="C19" s="1">
        <v>301</v>
      </c>
      <c r="D19" s="1">
        <v>1</v>
      </c>
      <c r="E19" s="1" t="s">
        <v>79</v>
      </c>
      <c r="F19" s="1">
        <v>82900171</v>
      </c>
      <c r="G19" s="1" t="s">
        <v>72</v>
      </c>
      <c r="H19" s="1" t="s">
        <v>14</v>
      </c>
      <c r="I19" s="1">
        <v>0.159</v>
      </c>
      <c r="J19" s="1" t="s">
        <v>16</v>
      </c>
      <c r="K19" s="1" t="s">
        <v>83</v>
      </c>
      <c r="L19" s="1" t="s">
        <v>81</v>
      </c>
      <c r="M19" s="1" t="s">
        <v>54</v>
      </c>
      <c r="N19" s="1" t="s">
        <v>585</v>
      </c>
      <c r="O19" s="1" t="s">
        <v>448</v>
      </c>
      <c r="P19" s="2">
        <v>0.53875604493654605</v>
      </c>
      <c r="Q19" s="2">
        <v>0.54051205026807392</v>
      </c>
      <c r="R19" s="2">
        <v>0.52604646029504409</v>
      </c>
      <c r="S19" s="2">
        <f>AVERAGE(P19:R19)</f>
        <v>0.53510485183322143</v>
      </c>
      <c r="T19" s="3">
        <f t="shared" si="1"/>
        <v>7.8937780324303281E-3</v>
      </c>
      <c r="U19" s="1" t="s">
        <v>561</v>
      </c>
    </row>
    <row r="20" spans="1:21" x14ac:dyDescent="0.3">
      <c r="A20" s="1">
        <v>19</v>
      </c>
      <c r="B20" s="1" t="s">
        <v>84</v>
      </c>
      <c r="C20" s="1">
        <v>301</v>
      </c>
      <c r="D20" s="1">
        <v>1</v>
      </c>
      <c r="E20" s="1" t="s">
        <v>85</v>
      </c>
      <c r="F20" s="1">
        <v>82901181</v>
      </c>
      <c r="G20" s="1" t="s">
        <v>14</v>
      </c>
      <c r="H20" s="1" t="s">
        <v>72</v>
      </c>
      <c r="I20" s="1">
        <v>0.14599999999999999</v>
      </c>
      <c r="J20" s="1" t="s">
        <v>16</v>
      </c>
      <c r="K20" s="1" t="s">
        <v>86</v>
      </c>
      <c r="L20" s="1" t="s">
        <v>81</v>
      </c>
      <c r="M20" s="1" t="s">
        <v>54</v>
      </c>
      <c r="N20" s="1" t="s">
        <v>585</v>
      </c>
      <c r="O20" s="1" t="s">
        <v>449</v>
      </c>
      <c r="P20" s="2">
        <v>1.4029938856754376</v>
      </c>
      <c r="Q20" s="2">
        <v>1.461992420325851</v>
      </c>
      <c r="R20" s="2">
        <v>1.4351114383108734</v>
      </c>
      <c r="S20" s="2">
        <f>AVERAGE(P20:R20)</f>
        <v>1.4333659147707205</v>
      </c>
      <c r="T20" s="3">
        <f t="shared" si="1"/>
        <v>2.9537974068069187E-2</v>
      </c>
      <c r="U20" s="1">
        <f>_xlfn.T.TEST(P20:R20,P21:R21,2,3)</f>
        <v>4.8136978341602496E-5</v>
      </c>
    </row>
    <row r="21" spans="1:21" x14ac:dyDescent="0.3">
      <c r="A21" s="1">
        <v>20</v>
      </c>
      <c r="B21" s="1" t="s">
        <v>87</v>
      </c>
      <c r="C21" s="1">
        <v>301</v>
      </c>
      <c r="D21" s="1">
        <v>1</v>
      </c>
      <c r="E21" s="1" t="s">
        <v>85</v>
      </c>
      <c r="F21" s="1">
        <v>82901181</v>
      </c>
      <c r="G21" s="1" t="s">
        <v>14</v>
      </c>
      <c r="H21" s="1" t="s">
        <v>72</v>
      </c>
      <c r="I21" s="1">
        <v>0.14599999999999999</v>
      </c>
      <c r="J21" s="1" t="s">
        <v>16</v>
      </c>
      <c r="K21" s="1" t="s">
        <v>88</v>
      </c>
      <c r="L21" s="1" t="s">
        <v>81</v>
      </c>
      <c r="M21" s="1" t="s">
        <v>54</v>
      </c>
      <c r="N21" s="1" t="s">
        <v>585</v>
      </c>
      <c r="O21" s="1" t="s">
        <v>450</v>
      </c>
      <c r="P21" s="2">
        <v>0.80631043570518246</v>
      </c>
      <c r="Q21" s="2">
        <v>0.88260802165905272</v>
      </c>
      <c r="R21" s="2">
        <v>0.84807435965278866</v>
      </c>
      <c r="S21" s="2">
        <f t="shared" si="2"/>
        <v>0.84566427233900787</v>
      </c>
      <c r="T21" s="3">
        <f t="shared" si="1"/>
        <v>3.8205847670770114E-2</v>
      </c>
      <c r="U21" s="1" t="s">
        <v>561</v>
      </c>
    </row>
    <row r="22" spans="1:21" x14ac:dyDescent="0.3">
      <c r="A22" s="1">
        <v>21</v>
      </c>
      <c r="B22" s="1" t="s">
        <v>89</v>
      </c>
      <c r="C22" s="1">
        <v>301</v>
      </c>
      <c r="D22" s="1">
        <v>1</v>
      </c>
      <c r="E22" s="1" t="s">
        <v>90</v>
      </c>
      <c r="F22" s="1">
        <v>82989881</v>
      </c>
      <c r="G22" s="1" t="s">
        <v>72</v>
      </c>
      <c r="H22" s="1" t="s">
        <v>24</v>
      </c>
      <c r="I22" s="1">
        <v>5.0999999999999997E-2</v>
      </c>
      <c r="J22" s="1" t="s">
        <v>16</v>
      </c>
      <c r="K22" s="1" t="s">
        <v>91</v>
      </c>
      <c r="L22" s="1" t="s">
        <v>92</v>
      </c>
      <c r="M22" s="1" t="s">
        <v>54</v>
      </c>
      <c r="N22" s="1" t="s">
        <v>585</v>
      </c>
      <c r="O22" s="1" t="s">
        <v>451</v>
      </c>
      <c r="P22" s="2">
        <v>0.57351998316812147</v>
      </c>
      <c r="Q22" s="2">
        <v>0.56798745802647699</v>
      </c>
      <c r="R22" s="2">
        <v>0.59538829840819285</v>
      </c>
      <c r="S22" s="2">
        <f>AVERAGE(P22:R22)</f>
        <v>0.57896524653426373</v>
      </c>
      <c r="T22" s="3">
        <f t="shared" si="1"/>
        <v>1.4489295471176512E-2</v>
      </c>
      <c r="U22" s="1">
        <f>_xlfn.T.TEST(P22:R22,P23:R23,2,3)</f>
        <v>1.9180213171524356E-4</v>
      </c>
    </row>
    <row r="23" spans="1:21" x14ac:dyDescent="0.3">
      <c r="A23" s="1">
        <v>22</v>
      </c>
      <c r="B23" s="1" t="s">
        <v>93</v>
      </c>
      <c r="C23" s="1">
        <v>301</v>
      </c>
      <c r="D23" s="1">
        <v>1</v>
      </c>
      <c r="E23" s="1" t="s">
        <v>90</v>
      </c>
      <c r="F23" s="1">
        <v>82989881</v>
      </c>
      <c r="G23" s="1" t="s">
        <v>72</v>
      </c>
      <c r="H23" s="1" t="s">
        <v>24</v>
      </c>
      <c r="I23" s="1">
        <v>5.0999999999999997E-2</v>
      </c>
      <c r="J23" s="1" t="s">
        <v>16</v>
      </c>
      <c r="K23" s="1" t="s">
        <v>94</v>
      </c>
      <c r="L23" s="1" t="s">
        <v>92</v>
      </c>
      <c r="M23" s="1" t="s">
        <v>54</v>
      </c>
      <c r="N23" s="1" t="s">
        <v>585</v>
      </c>
      <c r="O23" s="1" t="s">
        <v>452</v>
      </c>
      <c r="P23" s="2">
        <v>0.3136949404240803</v>
      </c>
      <c r="Q23" s="2">
        <v>0.35314072702711014</v>
      </c>
      <c r="R23" s="2">
        <v>0.34705918273183511</v>
      </c>
      <c r="S23" s="2">
        <f>AVERAGE(P23:R23)</f>
        <v>0.33796495006100846</v>
      </c>
      <c r="T23" s="3">
        <f t="shared" si="1"/>
        <v>2.1237262561033834E-2</v>
      </c>
      <c r="U23" s="1" t="s">
        <v>561</v>
      </c>
    </row>
    <row r="24" spans="1:21" x14ac:dyDescent="0.3">
      <c r="A24" s="1">
        <v>23</v>
      </c>
      <c r="B24" s="1" t="s">
        <v>95</v>
      </c>
      <c r="C24" s="1">
        <v>301</v>
      </c>
      <c r="D24" s="1">
        <v>1</v>
      </c>
      <c r="E24" s="1" t="s">
        <v>96</v>
      </c>
      <c r="F24" s="1">
        <v>83010534</v>
      </c>
      <c r="G24" s="1" t="s">
        <v>72</v>
      </c>
      <c r="H24" s="1" t="s">
        <v>14</v>
      </c>
      <c r="I24" s="1">
        <v>0.28499999999999998</v>
      </c>
      <c r="J24" s="1" t="s">
        <v>16</v>
      </c>
      <c r="K24" s="1" t="s">
        <v>97</v>
      </c>
      <c r="L24" s="1" t="s">
        <v>81</v>
      </c>
      <c r="M24" s="1" t="s">
        <v>54</v>
      </c>
      <c r="N24" s="1" t="s">
        <v>585</v>
      </c>
      <c r="O24" s="1" t="s">
        <v>453</v>
      </c>
      <c r="P24" s="2">
        <v>0.68500310477384241</v>
      </c>
      <c r="Q24" s="2">
        <v>0.74185109364901614</v>
      </c>
      <c r="R24" s="2">
        <v>0.70372415123036791</v>
      </c>
      <c r="S24" s="2">
        <f>AVERAGE(P24:R24)</f>
        <v>0.71019278321774226</v>
      </c>
      <c r="T24" s="3">
        <f t="shared" si="1"/>
        <v>2.8970775958352065E-2</v>
      </c>
      <c r="U24" s="1">
        <f>_xlfn.T.TEST(P24:R24,P25:R25,2,3)</f>
        <v>1.0682979173809873E-2</v>
      </c>
    </row>
    <row r="25" spans="1:21" x14ac:dyDescent="0.3">
      <c r="A25" s="1">
        <v>24</v>
      </c>
      <c r="B25" s="1" t="s">
        <v>98</v>
      </c>
      <c r="C25" s="1">
        <v>301</v>
      </c>
      <c r="D25" s="1">
        <v>1</v>
      </c>
      <c r="E25" s="1" t="s">
        <v>96</v>
      </c>
      <c r="F25" s="1">
        <v>83010534</v>
      </c>
      <c r="G25" s="1" t="s">
        <v>72</v>
      </c>
      <c r="H25" s="1" t="s">
        <v>14</v>
      </c>
      <c r="I25" s="1">
        <v>0.28499999999999998</v>
      </c>
      <c r="J25" s="1" t="s">
        <v>16</v>
      </c>
      <c r="K25" s="1" t="s">
        <v>99</v>
      </c>
      <c r="L25" s="1" t="s">
        <v>81</v>
      </c>
      <c r="M25" s="1" t="s">
        <v>54</v>
      </c>
      <c r="N25" s="1" t="s">
        <v>585</v>
      </c>
      <c r="O25" s="1" t="s">
        <v>454</v>
      </c>
      <c r="P25" s="2">
        <v>0.89125498822127591</v>
      </c>
      <c r="Q25" s="2">
        <v>0.85506420536359784</v>
      </c>
      <c r="R25" s="2">
        <v>0.80922349498177337</v>
      </c>
      <c r="S25" s="2">
        <f>AVERAGE(P25:R25)</f>
        <v>0.85184756285554908</v>
      </c>
      <c r="T25" s="3">
        <f t="shared" si="1"/>
        <v>4.1110236712333312E-2</v>
      </c>
      <c r="U25" s="1" t="s">
        <v>561</v>
      </c>
    </row>
    <row r="26" spans="1:21" x14ac:dyDescent="0.3">
      <c r="A26" s="1">
        <v>25</v>
      </c>
      <c r="B26" s="1" t="s">
        <v>100</v>
      </c>
      <c r="C26" s="1">
        <v>301</v>
      </c>
      <c r="D26" s="1">
        <v>1</v>
      </c>
      <c r="E26" s="1" t="s">
        <v>101</v>
      </c>
      <c r="F26" s="1">
        <v>132454724</v>
      </c>
      <c r="G26" s="1" t="s">
        <v>15</v>
      </c>
      <c r="H26" s="1" t="s">
        <v>24</v>
      </c>
      <c r="I26" s="1">
        <v>0.14199999999999999</v>
      </c>
      <c r="J26" s="1" t="s">
        <v>44</v>
      </c>
      <c r="K26" s="1" t="s">
        <v>102</v>
      </c>
      <c r="L26" s="1" t="s">
        <v>103</v>
      </c>
      <c r="M26" s="1" t="s">
        <v>39</v>
      </c>
      <c r="N26" s="1" t="s">
        <v>586</v>
      </c>
      <c r="O26" s="1" t="s">
        <v>455</v>
      </c>
      <c r="P26" s="2">
        <v>0.59241563812385367</v>
      </c>
      <c r="Q26" s="2">
        <v>0.61234568221180541</v>
      </c>
      <c r="R26" s="2">
        <v>0.58041818745732254</v>
      </c>
      <c r="S26" s="2">
        <f>AVERAGE(P26:R26)</f>
        <v>0.59505983593099387</v>
      </c>
      <c r="T26" s="3">
        <f t="shared" si="1"/>
        <v>1.6127153092125295E-2</v>
      </c>
      <c r="U26" s="1">
        <f>_xlfn.T.TEST(P26:R26,P27:R27,2,3)</f>
        <v>2.1292566159282836E-4</v>
      </c>
    </row>
    <row r="27" spans="1:21" x14ac:dyDescent="0.3">
      <c r="A27" s="1">
        <v>26</v>
      </c>
      <c r="B27" s="1" t="s">
        <v>104</v>
      </c>
      <c r="C27" s="1">
        <v>301</v>
      </c>
      <c r="D27" s="1">
        <v>1</v>
      </c>
      <c r="E27" s="1" t="s">
        <v>101</v>
      </c>
      <c r="F27" s="1">
        <v>132454724</v>
      </c>
      <c r="G27" s="1" t="s">
        <v>15</v>
      </c>
      <c r="H27" s="1" t="s">
        <v>24</v>
      </c>
      <c r="I27" s="1">
        <v>0.14199999999999999</v>
      </c>
      <c r="J27" s="1" t="s">
        <v>44</v>
      </c>
      <c r="K27" s="1" t="s">
        <v>105</v>
      </c>
      <c r="L27" s="1" t="s">
        <v>103</v>
      </c>
      <c r="M27" s="1" t="s">
        <v>39</v>
      </c>
      <c r="N27" s="1" t="s">
        <v>586</v>
      </c>
      <c r="O27" s="1" t="s">
        <v>456</v>
      </c>
      <c r="P27" s="2">
        <v>0.44285267609745094</v>
      </c>
      <c r="Q27" s="2">
        <v>0.43000788375514998</v>
      </c>
      <c r="R27" s="2">
        <v>0.41726512109424585</v>
      </c>
      <c r="S27" s="2">
        <f t="shared" si="2"/>
        <v>0.4300418936489489</v>
      </c>
      <c r="T27" s="3">
        <f t="shared" si="1"/>
        <v>1.2793811404939834E-2</v>
      </c>
      <c r="U27" s="1" t="s">
        <v>561</v>
      </c>
    </row>
    <row r="28" spans="1:21" ht="15.6" x14ac:dyDescent="0.3">
      <c r="A28" s="1">
        <v>27</v>
      </c>
      <c r="B28" s="1" t="s">
        <v>106</v>
      </c>
      <c r="C28" s="1">
        <v>301</v>
      </c>
      <c r="D28" s="1">
        <v>1</v>
      </c>
      <c r="E28" s="1" t="s">
        <v>107</v>
      </c>
      <c r="F28" s="1">
        <v>132455672</v>
      </c>
      <c r="G28" s="1" t="s">
        <v>24</v>
      </c>
      <c r="H28" s="1" t="s">
        <v>15</v>
      </c>
      <c r="I28" s="1">
        <v>0.129</v>
      </c>
      <c r="J28" s="1" t="s">
        <v>44</v>
      </c>
      <c r="K28" s="1" t="s">
        <v>108</v>
      </c>
      <c r="L28" s="1" t="s">
        <v>103</v>
      </c>
      <c r="M28" s="1" t="s">
        <v>39</v>
      </c>
      <c r="N28" s="1" t="s">
        <v>586</v>
      </c>
      <c r="O28" s="1" t="s">
        <v>457</v>
      </c>
      <c r="P28" s="4">
        <v>0.66895012051441483</v>
      </c>
      <c r="Q28" s="4">
        <v>0.60611169266327913</v>
      </c>
      <c r="R28" s="4">
        <v>0.61795199226792152</v>
      </c>
      <c r="S28" s="2">
        <f>AVERAGE(P28:R28)</f>
        <v>0.63100460181520523</v>
      </c>
      <c r="T28" s="3">
        <f t="shared" si="1"/>
        <v>3.3390791630268014E-2</v>
      </c>
      <c r="U28" s="1">
        <f>_xlfn.T.TEST(P28:R28,P29:R29,2,3)</f>
        <v>0.63512956711798552</v>
      </c>
    </row>
    <row r="29" spans="1:21" ht="15.6" x14ac:dyDescent="0.3">
      <c r="A29" s="1">
        <v>28</v>
      </c>
      <c r="B29" s="1" t="s">
        <v>109</v>
      </c>
      <c r="C29" s="1">
        <v>301</v>
      </c>
      <c r="D29" s="1">
        <v>1</v>
      </c>
      <c r="E29" s="1" t="s">
        <v>107</v>
      </c>
      <c r="F29" s="1">
        <v>132455672</v>
      </c>
      <c r="G29" s="1" t="s">
        <v>24</v>
      </c>
      <c r="H29" s="1" t="s">
        <v>15</v>
      </c>
      <c r="I29" s="1">
        <v>0.129</v>
      </c>
      <c r="J29" s="1" t="s">
        <v>44</v>
      </c>
      <c r="K29" s="1" t="s">
        <v>110</v>
      </c>
      <c r="L29" s="1" t="s">
        <v>103</v>
      </c>
      <c r="M29" s="1" t="s">
        <v>39</v>
      </c>
      <c r="N29" s="1" t="s">
        <v>586</v>
      </c>
      <c r="O29" s="1" t="s">
        <v>458</v>
      </c>
      <c r="P29" s="4">
        <v>0.61271930624570947</v>
      </c>
      <c r="Q29" s="4">
        <v>0.68349810912548137</v>
      </c>
      <c r="R29" s="4">
        <v>0.64021363504098316</v>
      </c>
      <c r="S29" s="2">
        <f>AVERAGE(P29:R29)</f>
        <v>0.64547701680405789</v>
      </c>
      <c r="T29" s="3">
        <f t="shared" si="1"/>
        <v>3.5681747784564913E-2</v>
      </c>
      <c r="U29" s="1" t="s">
        <v>561</v>
      </c>
    </row>
    <row r="30" spans="1:21" ht="15.6" x14ac:dyDescent="0.3">
      <c r="A30" s="1">
        <v>29</v>
      </c>
      <c r="B30" s="1" t="s">
        <v>111</v>
      </c>
      <c r="C30" s="1">
        <v>476</v>
      </c>
      <c r="D30" s="1">
        <v>2</v>
      </c>
      <c r="E30" s="1" t="s">
        <v>112</v>
      </c>
      <c r="F30" s="1" t="s">
        <v>113</v>
      </c>
      <c r="G30" s="1" t="s">
        <v>114</v>
      </c>
      <c r="H30" s="1" t="s">
        <v>115</v>
      </c>
      <c r="I30" s="1" t="s">
        <v>568</v>
      </c>
      <c r="J30" s="1" t="s">
        <v>44</v>
      </c>
      <c r="K30" s="1" t="s">
        <v>116</v>
      </c>
      <c r="L30" s="1" t="s">
        <v>117</v>
      </c>
      <c r="M30" s="1" t="s">
        <v>118</v>
      </c>
      <c r="N30" s="1" t="s">
        <v>586</v>
      </c>
      <c r="O30" s="1" t="s">
        <v>459</v>
      </c>
      <c r="P30" s="4">
        <v>0.9359260878764567</v>
      </c>
      <c r="Q30" s="4">
        <v>0.96881473520052053</v>
      </c>
      <c r="R30" s="4">
        <v>0.99643973624362858</v>
      </c>
      <c r="S30" s="2">
        <f>AVERAGE(P30:R30)</f>
        <v>0.96706018644020197</v>
      </c>
      <c r="T30" s="3">
        <f t="shared" si="1"/>
        <v>3.0294954046683788E-2</v>
      </c>
      <c r="U30" s="1">
        <f>_xlfn.T.TEST(P30:R30,P31:R31,2,3)</f>
        <v>9.7471343872022602E-5</v>
      </c>
    </row>
    <row r="31" spans="1:21" ht="15.6" x14ac:dyDescent="0.3">
      <c r="A31" s="1">
        <v>30</v>
      </c>
      <c r="B31" s="1" t="s">
        <v>119</v>
      </c>
      <c r="C31" s="1">
        <v>476</v>
      </c>
      <c r="D31" s="1">
        <v>2</v>
      </c>
      <c r="E31" s="1" t="s">
        <v>112</v>
      </c>
      <c r="F31" s="1" t="s">
        <v>113</v>
      </c>
      <c r="G31" s="1" t="s">
        <v>114</v>
      </c>
      <c r="H31" s="1" t="s">
        <v>115</v>
      </c>
      <c r="I31" s="1" t="s">
        <v>568</v>
      </c>
      <c r="J31" s="1" t="s">
        <v>44</v>
      </c>
      <c r="K31" s="1" t="s">
        <v>120</v>
      </c>
      <c r="L31" s="1" t="s">
        <v>117</v>
      </c>
      <c r="M31" s="1" t="s">
        <v>118</v>
      </c>
      <c r="N31" s="1" t="s">
        <v>586</v>
      </c>
      <c r="O31" s="1" t="s">
        <v>460</v>
      </c>
      <c r="P31" s="4">
        <v>0.61332857608376123</v>
      </c>
      <c r="Q31" s="4">
        <v>0.56369314633707623</v>
      </c>
      <c r="R31" s="4">
        <v>0.59037445274807099</v>
      </c>
      <c r="S31" s="2">
        <f>AVERAGE(P31:R31)</f>
        <v>0.58913205838963612</v>
      </c>
      <c r="T31" s="3">
        <f t="shared" si="1"/>
        <v>2.4841027139410492E-2</v>
      </c>
      <c r="U31" s="1" t="s">
        <v>561</v>
      </c>
    </row>
    <row r="32" spans="1:21" ht="15.6" x14ac:dyDescent="0.3">
      <c r="A32" s="1">
        <v>31</v>
      </c>
      <c r="B32" s="1" t="s">
        <v>121</v>
      </c>
      <c r="C32" s="1">
        <v>301</v>
      </c>
      <c r="D32" s="1">
        <v>1</v>
      </c>
      <c r="E32" s="1" t="s">
        <v>122</v>
      </c>
      <c r="F32" s="1">
        <v>132464907</v>
      </c>
      <c r="G32" s="1" t="s">
        <v>14</v>
      </c>
      <c r="H32" s="1" t="s">
        <v>15</v>
      </c>
      <c r="I32" s="1">
        <v>0.24299999999999999</v>
      </c>
      <c r="J32" s="1" t="s">
        <v>44</v>
      </c>
      <c r="K32" s="1" t="s">
        <v>123</v>
      </c>
      <c r="L32" s="1" t="s">
        <v>117</v>
      </c>
      <c r="M32" s="1" t="s">
        <v>118</v>
      </c>
      <c r="N32" s="1" t="s">
        <v>586</v>
      </c>
      <c r="O32" s="1" t="s">
        <v>461</v>
      </c>
      <c r="P32" s="4">
        <v>0.32395730239258214</v>
      </c>
      <c r="Q32" s="4">
        <v>0.32193095455397869</v>
      </c>
      <c r="R32" s="4">
        <v>0.31258586999500382</v>
      </c>
      <c r="S32" s="2">
        <f t="shared" si="2"/>
        <v>0.31949137564718821</v>
      </c>
      <c r="T32" s="3">
        <f t="shared" si="1"/>
        <v>6.0655607840509025E-3</v>
      </c>
      <c r="U32" s="1">
        <f>_xlfn.T.TEST(P32:R32,P33:R33,2,3)</f>
        <v>3.8466499685016947E-4</v>
      </c>
    </row>
    <row r="33" spans="1:21" ht="15.6" x14ac:dyDescent="0.3">
      <c r="A33" s="1">
        <v>32</v>
      </c>
      <c r="B33" s="1" t="s">
        <v>124</v>
      </c>
      <c r="C33" s="1">
        <v>301</v>
      </c>
      <c r="D33" s="1">
        <v>1</v>
      </c>
      <c r="E33" s="1" t="s">
        <v>122</v>
      </c>
      <c r="F33" s="1">
        <v>132464907</v>
      </c>
      <c r="G33" s="1" t="s">
        <v>14</v>
      </c>
      <c r="H33" s="1" t="s">
        <v>15</v>
      </c>
      <c r="I33" s="1">
        <v>0.24299999999999999</v>
      </c>
      <c r="J33" s="1" t="s">
        <v>44</v>
      </c>
      <c r="K33" s="1" t="s">
        <v>125</v>
      </c>
      <c r="L33" s="1" t="s">
        <v>117</v>
      </c>
      <c r="M33" s="1" t="s">
        <v>118</v>
      </c>
      <c r="N33" s="1" t="s">
        <v>586</v>
      </c>
      <c r="O33" s="1" t="s">
        <v>462</v>
      </c>
      <c r="P33" s="4">
        <v>0.77920092784815898</v>
      </c>
      <c r="Q33" s="4">
        <v>0.75248490413271729</v>
      </c>
      <c r="R33" s="4">
        <v>0.73575155814052495</v>
      </c>
      <c r="S33" s="2">
        <f>AVERAGE(P33:R33)</f>
        <v>0.75581246337380037</v>
      </c>
      <c r="T33" s="3">
        <f t="shared" si="1"/>
        <v>2.1914981630721354E-2</v>
      </c>
      <c r="U33" s="1" t="s">
        <v>561</v>
      </c>
    </row>
    <row r="34" spans="1:21" ht="15.6" x14ac:dyDescent="0.3">
      <c r="A34" s="1">
        <v>33</v>
      </c>
      <c r="B34" s="1" t="s">
        <v>126</v>
      </c>
      <c r="C34" s="1">
        <v>301</v>
      </c>
      <c r="D34" s="1">
        <v>1</v>
      </c>
      <c r="E34" s="1" t="s">
        <v>127</v>
      </c>
      <c r="F34" s="1">
        <v>2970425</v>
      </c>
      <c r="G34" s="1" t="s">
        <v>72</v>
      </c>
      <c r="H34" s="1" t="s">
        <v>14</v>
      </c>
      <c r="I34" s="1">
        <v>0.39300000000000002</v>
      </c>
      <c r="J34" s="1" t="s">
        <v>16</v>
      </c>
      <c r="K34" s="1" t="s">
        <v>128</v>
      </c>
      <c r="L34" s="1" t="s">
        <v>129</v>
      </c>
      <c r="M34" s="1" t="s">
        <v>75</v>
      </c>
      <c r="N34" s="1" t="s">
        <v>587</v>
      </c>
      <c r="O34" s="1" t="s">
        <v>463</v>
      </c>
      <c r="P34" s="4">
        <v>0.65753309814473992</v>
      </c>
      <c r="Q34" s="4">
        <v>0.74311018076241808</v>
      </c>
      <c r="R34" s="4">
        <v>0.63450658407279537</v>
      </c>
      <c r="S34" s="2">
        <f>AVERAGE(P34:R34)</f>
        <v>0.67838328765998446</v>
      </c>
      <c r="T34" s="3">
        <f t="shared" si="1"/>
        <v>5.7225283796559431E-2</v>
      </c>
      <c r="U34" s="1">
        <f>_xlfn.T.TEST(P34:R34,P35:R35,2,3)</f>
        <v>2.926075743095425E-2</v>
      </c>
    </row>
    <row r="35" spans="1:21" ht="15.6" x14ac:dyDescent="0.3">
      <c r="A35" s="1">
        <v>34</v>
      </c>
      <c r="B35" s="1" t="s">
        <v>130</v>
      </c>
      <c r="C35" s="1">
        <v>301</v>
      </c>
      <c r="D35" s="1">
        <v>1</v>
      </c>
      <c r="E35" s="1" t="s">
        <v>127</v>
      </c>
      <c r="F35" s="1">
        <v>2970425</v>
      </c>
      <c r="G35" s="1" t="s">
        <v>72</v>
      </c>
      <c r="H35" s="1" t="s">
        <v>14</v>
      </c>
      <c r="I35" s="1">
        <v>0.39300000000000002</v>
      </c>
      <c r="J35" s="1" t="s">
        <v>16</v>
      </c>
      <c r="K35" s="1" t="s">
        <v>131</v>
      </c>
      <c r="L35" s="1" t="s">
        <v>129</v>
      </c>
      <c r="M35" s="1" t="s">
        <v>75</v>
      </c>
      <c r="N35" s="1" t="s">
        <v>587</v>
      </c>
      <c r="O35" s="1" t="s">
        <v>464</v>
      </c>
      <c r="P35" s="4">
        <v>0.83743177881022413</v>
      </c>
      <c r="Q35" s="4">
        <v>0.83474447351700087</v>
      </c>
      <c r="R35" s="4">
        <v>0.86425369295955712</v>
      </c>
      <c r="S35" s="2">
        <f>AVERAGE(P35:R35)</f>
        <v>0.84547664842892745</v>
      </c>
      <c r="T35" s="3">
        <f t="shared" si="1"/>
        <v>1.6316815051157677E-2</v>
      </c>
      <c r="U35" s="1" t="s">
        <v>561</v>
      </c>
    </row>
    <row r="36" spans="1:21" ht="15.6" x14ac:dyDescent="0.3">
      <c r="A36" s="1">
        <v>35</v>
      </c>
      <c r="B36" s="1" t="s">
        <v>132</v>
      </c>
      <c r="C36" s="1">
        <v>301</v>
      </c>
      <c r="D36" s="1">
        <v>1</v>
      </c>
      <c r="E36" s="1" t="s">
        <v>133</v>
      </c>
      <c r="F36" s="1">
        <v>2971886</v>
      </c>
      <c r="G36" s="1" t="s">
        <v>14</v>
      </c>
      <c r="H36" s="1" t="s">
        <v>72</v>
      </c>
      <c r="I36" s="1">
        <v>0.36899999999999999</v>
      </c>
      <c r="J36" s="1" t="s">
        <v>16</v>
      </c>
      <c r="K36" s="1" t="s">
        <v>134</v>
      </c>
      <c r="L36" s="1" t="s">
        <v>129</v>
      </c>
      <c r="M36" s="1" t="s">
        <v>75</v>
      </c>
      <c r="N36" s="1" t="s">
        <v>587</v>
      </c>
      <c r="O36" s="1" t="s">
        <v>465</v>
      </c>
      <c r="P36" s="4">
        <v>0.53252000393442045</v>
      </c>
      <c r="Q36" s="4">
        <v>0.49926666953061488</v>
      </c>
      <c r="R36" s="4">
        <v>0.5007537371204176</v>
      </c>
      <c r="S36" s="2">
        <f t="shared" si="2"/>
        <v>0.51084680352848433</v>
      </c>
      <c r="T36" s="3">
        <f t="shared" si="1"/>
        <v>1.8784263477205149E-2</v>
      </c>
      <c r="U36" s="1">
        <f>_xlfn.T.TEST(P36:R36,P37:R37,2,3)</f>
        <v>3.979541466706267E-3</v>
      </c>
    </row>
    <row r="37" spans="1:21" ht="15.6" x14ac:dyDescent="0.3">
      <c r="A37" s="1">
        <v>36</v>
      </c>
      <c r="B37" s="1" t="s">
        <v>135</v>
      </c>
      <c r="C37" s="1">
        <v>301</v>
      </c>
      <c r="D37" s="1">
        <v>1</v>
      </c>
      <c r="E37" s="1" t="s">
        <v>133</v>
      </c>
      <c r="F37" s="1">
        <v>2971886</v>
      </c>
      <c r="G37" s="1" t="s">
        <v>14</v>
      </c>
      <c r="H37" s="1" t="s">
        <v>72</v>
      </c>
      <c r="I37" s="1">
        <v>0.36899999999999999</v>
      </c>
      <c r="J37" s="1" t="s">
        <v>16</v>
      </c>
      <c r="K37" s="1" t="s">
        <v>136</v>
      </c>
      <c r="L37" s="1" t="s">
        <v>129</v>
      </c>
      <c r="M37" s="1" t="s">
        <v>75</v>
      </c>
      <c r="N37" s="1" t="s">
        <v>587</v>
      </c>
      <c r="O37" s="1" t="s">
        <v>466</v>
      </c>
      <c r="P37" s="4">
        <v>0.70196254119380319</v>
      </c>
      <c r="Q37" s="4">
        <v>0.63934740345898966</v>
      </c>
      <c r="R37" s="4">
        <v>0.68934820983962897</v>
      </c>
      <c r="S37" s="2">
        <f>AVERAGE(P37:R37)</f>
        <v>0.67688605149747394</v>
      </c>
      <c r="T37" s="3">
        <f t="shared" si="1"/>
        <v>3.3115599213907117E-2</v>
      </c>
      <c r="U37" s="1" t="s">
        <v>561</v>
      </c>
    </row>
    <row r="38" spans="1:21" ht="15.6" x14ac:dyDescent="0.3">
      <c r="A38" s="1">
        <v>37</v>
      </c>
      <c r="B38" s="1" t="s">
        <v>137</v>
      </c>
      <c r="C38" s="1">
        <v>301</v>
      </c>
      <c r="D38" s="1">
        <v>1</v>
      </c>
      <c r="E38" s="1" t="s">
        <v>138</v>
      </c>
      <c r="F38" s="1">
        <v>36963038</v>
      </c>
      <c r="G38" s="1" t="s">
        <v>24</v>
      </c>
      <c r="H38" s="1" t="s">
        <v>15</v>
      </c>
      <c r="I38" s="1">
        <v>0.106</v>
      </c>
      <c r="J38" s="1" t="s">
        <v>16</v>
      </c>
      <c r="K38" s="1" t="s">
        <v>139</v>
      </c>
      <c r="L38" s="1" t="s">
        <v>140</v>
      </c>
      <c r="M38" s="1" t="s">
        <v>75</v>
      </c>
      <c r="N38" s="1" t="s">
        <v>588</v>
      </c>
      <c r="O38" s="1" t="s">
        <v>467</v>
      </c>
      <c r="P38" s="4">
        <v>1.939876278169953</v>
      </c>
      <c r="Q38" s="4">
        <v>1.9074546326355009</v>
      </c>
      <c r="R38" s="4">
        <v>1.9801378759486561</v>
      </c>
      <c r="S38" s="2">
        <f>AVERAGE(P38:R38)</f>
        <v>1.9424895955847032</v>
      </c>
      <c r="T38" s="3">
        <f t="shared" si="1"/>
        <v>3.6412024601256511E-2</v>
      </c>
      <c r="U38" s="1">
        <f>_xlfn.T.TEST(P38:R38,P39:R39,2,3)</f>
        <v>1.850979144023868E-4</v>
      </c>
    </row>
    <row r="39" spans="1:21" ht="15.6" x14ac:dyDescent="0.3">
      <c r="A39" s="1">
        <v>38</v>
      </c>
      <c r="B39" s="1" t="s">
        <v>141</v>
      </c>
      <c r="C39" s="1">
        <v>301</v>
      </c>
      <c r="D39" s="1">
        <v>1</v>
      </c>
      <c r="E39" s="1" t="s">
        <v>138</v>
      </c>
      <c r="F39" s="1">
        <v>36963038</v>
      </c>
      <c r="G39" s="1" t="s">
        <v>24</v>
      </c>
      <c r="H39" s="1" t="s">
        <v>15</v>
      </c>
      <c r="I39" s="1">
        <v>0.106</v>
      </c>
      <c r="J39" s="1" t="s">
        <v>16</v>
      </c>
      <c r="K39" s="1" t="s">
        <v>142</v>
      </c>
      <c r="L39" s="1" t="s">
        <v>140</v>
      </c>
      <c r="M39" s="1" t="s">
        <v>75</v>
      </c>
      <c r="N39" s="1" t="s">
        <v>588</v>
      </c>
      <c r="O39" s="1" t="s">
        <v>468</v>
      </c>
      <c r="P39" s="4">
        <v>2.3696709367021924</v>
      </c>
      <c r="Q39" s="4">
        <v>2.3632772779749383</v>
      </c>
      <c r="R39" s="4">
        <v>2.3015855273296779</v>
      </c>
      <c r="S39" s="2">
        <f>AVERAGE(P39:R39)</f>
        <v>2.3448445806689362</v>
      </c>
      <c r="T39" s="3">
        <f t="shared" si="1"/>
        <v>3.7599587628546448E-2</v>
      </c>
      <c r="U39" s="1" t="s">
        <v>561</v>
      </c>
    </row>
    <row r="40" spans="1:21" ht="15.6" x14ac:dyDescent="0.3">
      <c r="A40" s="1">
        <v>39</v>
      </c>
      <c r="B40" s="1" t="s">
        <v>143</v>
      </c>
      <c r="C40" s="1">
        <v>301</v>
      </c>
      <c r="D40" s="1">
        <v>1</v>
      </c>
      <c r="E40" s="1" t="s">
        <v>144</v>
      </c>
      <c r="F40" s="1">
        <v>135114363</v>
      </c>
      <c r="G40" s="1" t="s">
        <v>24</v>
      </c>
      <c r="H40" s="1" t="s">
        <v>15</v>
      </c>
      <c r="I40" s="1">
        <v>0.83299999999999996</v>
      </c>
      <c r="J40" s="1" t="s">
        <v>44</v>
      </c>
      <c r="K40" s="1" t="s">
        <v>145</v>
      </c>
      <c r="L40" s="1" t="s">
        <v>146</v>
      </c>
      <c r="M40" s="1" t="s">
        <v>147</v>
      </c>
      <c r="N40" s="1" t="s">
        <v>589</v>
      </c>
      <c r="O40" s="1" t="s">
        <v>469</v>
      </c>
      <c r="P40" s="4">
        <v>0.53485724122695866</v>
      </c>
      <c r="Q40" s="4">
        <v>0.49024701272380011</v>
      </c>
      <c r="R40" s="4">
        <v>0.47620829244816054</v>
      </c>
      <c r="S40" s="2">
        <f t="shared" si="2"/>
        <v>0.50043751546630644</v>
      </c>
      <c r="T40" s="3">
        <f t="shared" si="1"/>
        <v>3.0623676425656228E-2</v>
      </c>
      <c r="U40" s="1">
        <f>_xlfn.T.TEST(P40:R40,P41:R41,2,3)</f>
        <v>1.6264642712832684E-4</v>
      </c>
    </row>
    <row r="41" spans="1:21" ht="15.6" x14ac:dyDescent="0.3">
      <c r="A41" s="1">
        <v>40</v>
      </c>
      <c r="B41" s="1" t="s">
        <v>148</v>
      </c>
      <c r="C41" s="1">
        <v>301</v>
      </c>
      <c r="D41" s="1">
        <v>1</v>
      </c>
      <c r="E41" s="1" t="s">
        <v>144</v>
      </c>
      <c r="F41" s="1">
        <v>135114363</v>
      </c>
      <c r="G41" s="1" t="s">
        <v>24</v>
      </c>
      <c r="H41" s="1" t="s">
        <v>15</v>
      </c>
      <c r="I41" s="1">
        <v>0.83299999999999996</v>
      </c>
      <c r="J41" s="1" t="s">
        <v>44</v>
      </c>
      <c r="K41" s="1" t="s">
        <v>149</v>
      </c>
      <c r="L41" s="1" t="s">
        <v>146</v>
      </c>
      <c r="M41" s="1" t="s">
        <v>147</v>
      </c>
      <c r="N41" s="1" t="s">
        <v>589</v>
      </c>
      <c r="O41" s="1" t="s">
        <v>470</v>
      </c>
      <c r="P41" s="4">
        <v>1.3022949153507943</v>
      </c>
      <c r="Q41" s="4">
        <v>1.2250142603572243</v>
      </c>
      <c r="R41" s="4">
        <v>1.1997078411376112</v>
      </c>
      <c r="S41" s="2">
        <f>AVERAGE(P41:R41)</f>
        <v>1.2423390056152099</v>
      </c>
      <c r="T41" s="3">
        <f t="shared" si="1"/>
        <v>5.3442839067510801E-2</v>
      </c>
      <c r="U41" s="1" t="s">
        <v>561</v>
      </c>
    </row>
    <row r="42" spans="1:21" ht="15.6" x14ac:dyDescent="0.3">
      <c r="A42" s="1">
        <v>41</v>
      </c>
      <c r="B42" s="1" t="s">
        <v>150</v>
      </c>
      <c r="C42" s="1">
        <v>301</v>
      </c>
      <c r="D42" s="1">
        <v>1</v>
      </c>
      <c r="E42" s="1" t="s">
        <v>151</v>
      </c>
      <c r="F42" s="1">
        <v>26397809</v>
      </c>
      <c r="G42" s="1" t="s">
        <v>24</v>
      </c>
      <c r="H42" s="1" t="s">
        <v>15</v>
      </c>
      <c r="I42" s="1">
        <v>0.20899999999999999</v>
      </c>
      <c r="J42" s="1" t="s">
        <v>25</v>
      </c>
      <c r="K42" s="1" t="s">
        <v>152</v>
      </c>
      <c r="L42" s="1" t="s">
        <v>153</v>
      </c>
      <c r="M42" s="1" t="s">
        <v>75</v>
      </c>
      <c r="N42" s="1" t="s">
        <v>590</v>
      </c>
      <c r="O42" s="1" t="s">
        <v>471</v>
      </c>
      <c r="P42" s="4">
        <v>0.8229557148336526</v>
      </c>
      <c r="Q42" s="4">
        <v>0.7808296923294471</v>
      </c>
      <c r="R42" s="4">
        <v>0.79939154109395139</v>
      </c>
      <c r="S42" s="2">
        <f>AVERAGE(P42:R42)</f>
        <v>0.80105898275235032</v>
      </c>
      <c r="T42" s="3">
        <f t="shared" si="1"/>
        <v>2.1112454008696626E-2</v>
      </c>
      <c r="U42" s="1">
        <f>_xlfn.T.TEST(P42:R42,P43:R43,2,3)</f>
        <v>9.8943580947061498E-3</v>
      </c>
    </row>
    <row r="43" spans="1:21" ht="15.6" x14ac:dyDescent="0.3">
      <c r="A43" s="1">
        <v>42</v>
      </c>
      <c r="B43" s="1" t="s">
        <v>154</v>
      </c>
      <c r="C43" s="1">
        <v>301</v>
      </c>
      <c r="D43" s="1">
        <v>1</v>
      </c>
      <c r="E43" s="1" t="s">
        <v>151</v>
      </c>
      <c r="F43" s="1">
        <v>26397809</v>
      </c>
      <c r="G43" s="1" t="s">
        <v>24</v>
      </c>
      <c r="H43" s="1" t="s">
        <v>15</v>
      </c>
      <c r="I43" s="1">
        <v>0.20899999999999999</v>
      </c>
      <c r="J43" s="1" t="s">
        <v>25</v>
      </c>
      <c r="K43" s="1" t="s">
        <v>155</v>
      </c>
      <c r="L43" s="1" t="s">
        <v>153</v>
      </c>
      <c r="M43" s="1" t="s">
        <v>75</v>
      </c>
      <c r="N43" s="1" t="s">
        <v>590</v>
      </c>
      <c r="O43" s="1" t="s">
        <v>472</v>
      </c>
      <c r="P43" s="4">
        <v>0.68062643742023954</v>
      </c>
      <c r="Q43" s="4">
        <v>0.66203409161679094</v>
      </c>
      <c r="R43" s="4">
        <v>0.72365495897423959</v>
      </c>
      <c r="S43" s="2">
        <f>AVERAGE(P43:R43)</f>
        <v>0.68877182933709002</v>
      </c>
      <c r="T43" s="3">
        <f t="shared" si="1"/>
        <v>3.1607647501520737E-2</v>
      </c>
      <c r="U43" s="1" t="s">
        <v>561</v>
      </c>
    </row>
    <row r="44" spans="1:21" ht="15.6" x14ac:dyDescent="0.3">
      <c r="A44" s="1">
        <v>43</v>
      </c>
      <c r="B44" s="1" t="s">
        <v>156</v>
      </c>
      <c r="C44" s="1">
        <v>844</v>
      </c>
      <c r="D44" s="1">
        <v>5</v>
      </c>
      <c r="E44" s="1" t="s">
        <v>157</v>
      </c>
      <c r="F44" s="1" t="s">
        <v>158</v>
      </c>
      <c r="G44" s="1" t="s">
        <v>159</v>
      </c>
      <c r="H44" s="1" t="s">
        <v>160</v>
      </c>
      <c r="I44" s="1" t="s">
        <v>569</v>
      </c>
      <c r="J44" s="1" t="s">
        <v>36</v>
      </c>
      <c r="K44" s="1" t="s">
        <v>161</v>
      </c>
      <c r="L44" s="1" t="s">
        <v>162</v>
      </c>
      <c r="M44" s="1" t="s">
        <v>163</v>
      </c>
      <c r="N44" s="1" t="s">
        <v>591</v>
      </c>
      <c r="O44" s="1" t="s">
        <v>473</v>
      </c>
      <c r="P44" s="4">
        <v>0.58562530621867825</v>
      </c>
      <c r="Q44" s="4">
        <v>0.56250050011961417</v>
      </c>
      <c r="R44" s="4">
        <v>0.54449477607107755</v>
      </c>
      <c r="S44" s="2">
        <f t="shared" si="2"/>
        <v>0.56420686080312332</v>
      </c>
      <c r="T44" s="3">
        <f t="shared" si="1"/>
        <v>2.0618289881615837E-2</v>
      </c>
      <c r="U44" s="1">
        <f>_xlfn.T.TEST(P44:R44,P45:R45,2,3)</f>
        <v>3.1059387004757962E-2</v>
      </c>
    </row>
    <row r="45" spans="1:21" ht="15.6" x14ac:dyDescent="0.3">
      <c r="A45" s="1">
        <v>44</v>
      </c>
      <c r="B45" s="1" t="s">
        <v>164</v>
      </c>
      <c r="C45" s="1">
        <v>844</v>
      </c>
      <c r="D45" s="1">
        <v>5</v>
      </c>
      <c r="E45" s="1" t="s">
        <v>157</v>
      </c>
      <c r="F45" s="1" t="s">
        <v>158</v>
      </c>
      <c r="G45" s="1" t="s">
        <v>159</v>
      </c>
      <c r="H45" s="1" t="s">
        <v>160</v>
      </c>
      <c r="I45" s="1" t="s">
        <v>569</v>
      </c>
      <c r="J45" s="1" t="s">
        <v>36</v>
      </c>
      <c r="K45" s="1" t="s">
        <v>165</v>
      </c>
      <c r="L45" s="1" t="s">
        <v>162</v>
      </c>
      <c r="M45" s="1" t="s">
        <v>163</v>
      </c>
      <c r="N45" s="1" t="s">
        <v>591</v>
      </c>
      <c r="O45" s="1" t="s">
        <v>474</v>
      </c>
      <c r="P45" s="4">
        <v>0.60542694481494763</v>
      </c>
      <c r="Q45" s="4">
        <v>0.62838018590477818</v>
      </c>
      <c r="R45" s="4">
        <v>0.61053179312907035</v>
      </c>
      <c r="S45" s="2">
        <f>AVERAGE(P45:R45)</f>
        <v>0.61477964128293205</v>
      </c>
      <c r="T45" s="3">
        <f t="shared" si="1"/>
        <v>1.2051803997147937E-2</v>
      </c>
      <c r="U45" s="1" t="s">
        <v>561</v>
      </c>
    </row>
    <row r="46" spans="1:21" ht="15.6" x14ac:dyDescent="0.3">
      <c r="A46" s="1">
        <v>45</v>
      </c>
      <c r="B46" s="1" t="s">
        <v>166</v>
      </c>
      <c r="C46" s="1">
        <v>566</v>
      </c>
      <c r="D46" s="1">
        <v>2</v>
      </c>
      <c r="E46" s="1" t="s">
        <v>167</v>
      </c>
      <c r="F46" s="1" t="s">
        <v>168</v>
      </c>
      <c r="G46" s="1" t="s">
        <v>169</v>
      </c>
      <c r="H46" s="1" t="s">
        <v>35</v>
      </c>
      <c r="I46" s="1" t="s">
        <v>570</v>
      </c>
      <c r="J46" s="1" t="s">
        <v>170</v>
      </c>
      <c r="K46" s="1" t="s">
        <v>171</v>
      </c>
      <c r="L46" s="1" t="s">
        <v>172</v>
      </c>
      <c r="M46" s="1" t="s">
        <v>173</v>
      </c>
      <c r="N46" s="1" t="s">
        <v>592</v>
      </c>
      <c r="O46" s="1" t="s">
        <v>475</v>
      </c>
      <c r="P46" s="4">
        <v>0.88395361737409051</v>
      </c>
      <c r="Q46" s="4">
        <v>0.92936989577031293</v>
      </c>
      <c r="R46" s="4">
        <v>0.88639983328353711</v>
      </c>
      <c r="S46" s="2">
        <f>AVERAGE(P46:R46)</f>
        <v>0.89990778214264688</v>
      </c>
      <c r="T46" s="3">
        <f t="shared" si="1"/>
        <v>2.5544238051389157E-2</v>
      </c>
      <c r="U46" s="1">
        <f>_xlfn.T.TEST(P46:R46,P47:R47,2,3)</f>
        <v>7.6241004348811354E-4</v>
      </c>
    </row>
    <row r="47" spans="1:21" ht="15.6" x14ac:dyDescent="0.3">
      <c r="A47" s="1">
        <v>46</v>
      </c>
      <c r="B47" s="1" t="s">
        <v>174</v>
      </c>
      <c r="C47" s="1">
        <v>566</v>
      </c>
      <c r="D47" s="1">
        <v>2</v>
      </c>
      <c r="E47" s="1" t="s">
        <v>167</v>
      </c>
      <c r="F47" s="1" t="s">
        <v>168</v>
      </c>
      <c r="G47" s="1" t="s">
        <v>169</v>
      </c>
      <c r="H47" s="1" t="s">
        <v>35</v>
      </c>
      <c r="I47" s="1" t="s">
        <v>570</v>
      </c>
      <c r="J47" s="1" t="s">
        <v>170</v>
      </c>
      <c r="K47" s="1" t="s">
        <v>175</v>
      </c>
      <c r="L47" s="1" t="s">
        <v>172</v>
      </c>
      <c r="M47" s="1" t="s">
        <v>173</v>
      </c>
      <c r="N47" s="1" t="s">
        <v>592</v>
      </c>
      <c r="O47" s="1" t="s">
        <v>476</v>
      </c>
      <c r="P47" s="4">
        <v>0.64068381322591084</v>
      </c>
      <c r="Q47" s="4">
        <v>0.64859858489844691</v>
      </c>
      <c r="R47" s="4">
        <v>0.62568154018242417</v>
      </c>
      <c r="S47" s="2">
        <f t="shared" si="2"/>
        <v>0.63832131276892723</v>
      </c>
      <c r="T47" s="3">
        <f t="shared" si="1"/>
        <v>1.163975046708399E-2</v>
      </c>
      <c r="U47" s="1" t="s">
        <v>561</v>
      </c>
    </row>
    <row r="48" spans="1:21" ht="15.6" x14ac:dyDescent="0.3">
      <c r="A48" s="1">
        <v>47</v>
      </c>
      <c r="B48" s="1" t="s">
        <v>176</v>
      </c>
      <c r="C48" s="1">
        <v>301</v>
      </c>
      <c r="D48" s="1">
        <v>1</v>
      </c>
      <c r="E48" s="1" t="s">
        <v>177</v>
      </c>
      <c r="F48" s="1">
        <v>140478754</v>
      </c>
      <c r="G48" s="1" t="s">
        <v>15</v>
      </c>
      <c r="H48" s="1" t="s">
        <v>24</v>
      </c>
      <c r="I48" s="1">
        <v>0.26500000000000001</v>
      </c>
      <c r="J48" s="1" t="s">
        <v>16</v>
      </c>
      <c r="K48" s="1" t="s">
        <v>178</v>
      </c>
      <c r="L48" s="1" t="s">
        <v>179</v>
      </c>
      <c r="M48" s="1" t="s">
        <v>28</v>
      </c>
      <c r="N48" s="1" t="s">
        <v>593</v>
      </c>
      <c r="O48" s="1" t="s">
        <v>477</v>
      </c>
      <c r="P48" s="4">
        <v>0.78256526273728655</v>
      </c>
      <c r="Q48" s="4">
        <v>0.76265230820242447</v>
      </c>
      <c r="R48" s="4">
        <v>0.72507448237549288</v>
      </c>
      <c r="S48" s="2">
        <f t="shared" si="2"/>
        <v>0.75676401777173474</v>
      </c>
      <c r="T48" s="3">
        <f t="shared" si="1"/>
        <v>2.9194201989421038E-2</v>
      </c>
      <c r="U48" s="1">
        <f>_xlfn.T.TEST(P48:R48,P49:R49,2,3)</f>
        <v>6.4407062034052337E-3</v>
      </c>
    </row>
    <row r="49" spans="1:21" ht="15.6" x14ac:dyDescent="0.3">
      <c r="A49" s="1">
        <v>48</v>
      </c>
      <c r="B49" s="1" t="s">
        <v>180</v>
      </c>
      <c r="C49" s="1">
        <v>301</v>
      </c>
      <c r="D49" s="1">
        <v>1</v>
      </c>
      <c r="E49" s="1" t="s">
        <v>177</v>
      </c>
      <c r="F49" s="1">
        <v>140478754</v>
      </c>
      <c r="G49" s="1" t="s">
        <v>15</v>
      </c>
      <c r="H49" s="1" t="s">
        <v>24</v>
      </c>
      <c r="I49" s="1">
        <v>0.26500000000000001</v>
      </c>
      <c r="J49" s="1" t="s">
        <v>16</v>
      </c>
      <c r="K49" s="1" t="s">
        <v>181</v>
      </c>
      <c r="L49" s="1" t="s">
        <v>179</v>
      </c>
      <c r="M49" s="1" t="s">
        <v>28</v>
      </c>
      <c r="N49" s="1" t="s">
        <v>593</v>
      </c>
      <c r="O49" s="1" t="s">
        <v>478</v>
      </c>
      <c r="P49" s="4">
        <v>0.86416381225832173</v>
      </c>
      <c r="Q49" s="4">
        <v>0.90020651466206458</v>
      </c>
      <c r="R49" s="4">
        <v>0.85656797714708388</v>
      </c>
      <c r="S49" s="2">
        <f t="shared" si="2"/>
        <v>0.87364610135582332</v>
      </c>
      <c r="T49" s="3">
        <f t="shared" si="1"/>
        <v>2.331342626059164E-2</v>
      </c>
      <c r="U49" s="1" t="s">
        <v>561</v>
      </c>
    </row>
    <row r="50" spans="1:21" ht="15.6" x14ac:dyDescent="0.3">
      <c r="A50" s="1">
        <v>49</v>
      </c>
      <c r="B50" s="1" t="s">
        <v>182</v>
      </c>
      <c r="C50" s="1">
        <v>480</v>
      </c>
      <c r="D50" s="1">
        <v>2</v>
      </c>
      <c r="E50" s="1" t="s">
        <v>183</v>
      </c>
      <c r="F50" s="1" t="s">
        <v>184</v>
      </c>
      <c r="G50" s="1" t="s">
        <v>35</v>
      </c>
      <c r="H50" s="1" t="s">
        <v>185</v>
      </c>
      <c r="I50" s="1" t="s">
        <v>571</v>
      </c>
      <c r="J50" s="1" t="s">
        <v>44</v>
      </c>
      <c r="K50" s="1" t="s">
        <v>186</v>
      </c>
      <c r="L50" s="1" t="s">
        <v>187</v>
      </c>
      <c r="M50" s="1" t="s">
        <v>188</v>
      </c>
      <c r="N50" s="1" t="s">
        <v>594</v>
      </c>
      <c r="O50" s="1" t="s">
        <v>479</v>
      </c>
      <c r="P50" s="4">
        <v>1.9832871371535252</v>
      </c>
      <c r="Q50" s="4">
        <v>2.0187812274918007</v>
      </c>
      <c r="R50" s="4">
        <v>1.8724405646149263</v>
      </c>
      <c r="S50" s="2">
        <f t="shared" si="2"/>
        <v>1.9581696430867508</v>
      </c>
      <c r="T50" s="3">
        <f t="shared" si="1"/>
        <v>7.6335206713262993E-2</v>
      </c>
      <c r="U50" s="1">
        <f>_xlfn.T.TEST(P50:R50,P51:R51,2,3)</f>
        <v>0.26797560914295637</v>
      </c>
    </row>
    <row r="51" spans="1:21" ht="15.6" x14ac:dyDescent="0.3">
      <c r="A51" s="1">
        <v>50</v>
      </c>
      <c r="B51" s="1" t="s">
        <v>189</v>
      </c>
      <c r="C51" s="1">
        <v>480</v>
      </c>
      <c r="D51" s="1">
        <v>2</v>
      </c>
      <c r="E51" s="1" t="s">
        <v>183</v>
      </c>
      <c r="F51" s="1" t="s">
        <v>184</v>
      </c>
      <c r="G51" s="1" t="s">
        <v>35</v>
      </c>
      <c r="H51" s="1" t="s">
        <v>185</v>
      </c>
      <c r="I51" s="1" t="s">
        <v>571</v>
      </c>
      <c r="J51" s="1" t="s">
        <v>44</v>
      </c>
      <c r="K51" s="1" t="s">
        <v>190</v>
      </c>
      <c r="L51" s="1" t="s">
        <v>187</v>
      </c>
      <c r="M51" s="1" t="s">
        <v>188</v>
      </c>
      <c r="N51" s="1" t="s">
        <v>594</v>
      </c>
      <c r="O51" s="1" t="s">
        <v>480</v>
      </c>
      <c r="P51" s="4">
        <v>1.9374531340713266</v>
      </c>
      <c r="Q51" s="4">
        <v>1.9052742464981067</v>
      </c>
      <c r="R51" s="4">
        <v>1.7827800503277684</v>
      </c>
      <c r="S51" s="2">
        <f t="shared" si="2"/>
        <v>1.8751691436324005</v>
      </c>
      <c r="T51" s="3">
        <f t="shared" si="1"/>
        <v>8.1612980723666129E-2</v>
      </c>
      <c r="U51" s="1" t="s">
        <v>561</v>
      </c>
    </row>
    <row r="52" spans="1:21" ht="15.6" x14ac:dyDescent="0.3">
      <c r="A52" s="1">
        <v>51</v>
      </c>
      <c r="B52" s="1" t="s">
        <v>191</v>
      </c>
      <c r="C52" s="1">
        <v>301</v>
      </c>
      <c r="D52" s="1">
        <v>1</v>
      </c>
      <c r="E52" s="1" t="s">
        <v>192</v>
      </c>
      <c r="F52" s="1">
        <v>129172930</v>
      </c>
      <c r="G52" s="1" t="s">
        <v>72</v>
      </c>
      <c r="H52" s="1" t="s">
        <v>14</v>
      </c>
      <c r="I52" s="1">
        <v>0.68799999999999994</v>
      </c>
      <c r="J52" s="1" t="s">
        <v>36</v>
      </c>
      <c r="K52" s="1" t="s">
        <v>193</v>
      </c>
      <c r="L52" s="1" t="s">
        <v>194</v>
      </c>
      <c r="M52" s="1" t="s">
        <v>19</v>
      </c>
      <c r="N52" s="1" t="s">
        <v>595</v>
      </c>
      <c r="O52" s="1" t="s">
        <v>481</v>
      </c>
      <c r="P52" s="4">
        <v>1.7429027122451786</v>
      </c>
      <c r="Q52" s="4">
        <v>1.8604860424576932</v>
      </c>
      <c r="R52" s="4">
        <v>1.9051866941939017</v>
      </c>
      <c r="S52" s="2">
        <f t="shared" si="2"/>
        <v>1.8361918162989246</v>
      </c>
      <c r="T52" s="3">
        <f t="shared" si="1"/>
        <v>8.3825293126677636E-2</v>
      </c>
      <c r="U52" s="1">
        <f>_xlfn.T.TEST(P52:R52,P53:R53,2,3)</f>
        <v>4.6248798027457156E-4</v>
      </c>
    </row>
    <row r="53" spans="1:21" ht="15.6" x14ac:dyDescent="0.3">
      <c r="A53" s="1">
        <v>52</v>
      </c>
      <c r="B53" s="1" t="s">
        <v>195</v>
      </c>
      <c r="C53" s="1">
        <v>301</v>
      </c>
      <c r="D53" s="1">
        <v>1</v>
      </c>
      <c r="E53" s="1" t="s">
        <v>192</v>
      </c>
      <c r="F53" s="1">
        <v>129172930</v>
      </c>
      <c r="G53" s="1" t="s">
        <v>72</v>
      </c>
      <c r="H53" s="1" t="s">
        <v>14</v>
      </c>
      <c r="I53" s="1">
        <v>0.68799999999999994</v>
      </c>
      <c r="J53" s="1" t="s">
        <v>36</v>
      </c>
      <c r="K53" s="1" t="s">
        <v>196</v>
      </c>
      <c r="L53" s="1" t="s">
        <v>194</v>
      </c>
      <c r="M53" s="1" t="s">
        <v>19</v>
      </c>
      <c r="N53" s="1" t="s">
        <v>595</v>
      </c>
      <c r="O53" s="1" t="s">
        <v>482</v>
      </c>
      <c r="P53" s="5">
        <v>0.66493943329096428</v>
      </c>
      <c r="Q53" s="5">
        <v>0.61852647384944526</v>
      </c>
      <c r="R53" s="5">
        <v>0.60355543017896862</v>
      </c>
      <c r="S53" s="2">
        <f t="shared" si="2"/>
        <v>0.62900711243979268</v>
      </c>
      <c r="T53" s="3">
        <f t="shared" si="1"/>
        <v>3.2005965044964405E-2</v>
      </c>
      <c r="U53" s="1" t="s">
        <v>561</v>
      </c>
    </row>
    <row r="54" spans="1:21" x14ac:dyDescent="0.3">
      <c r="A54" s="1">
        <v>53</v>
      </c>
      <c r="B54" s="1" t="s">
        <v>197</v>
      </c>
      <c r="C54" s="1">
        <v>301</v>
      </c>
      <c r="D54" s="1">
        <v>1</v>
      </c>
      <c r="E54" s="1" t="s">
        <v>198</v>
      </c>
      <c r="F54" s="1">
        <v>130042955</v>
      </c>
      <c r="G54" s="1" t="s">
        <v>72</v>
      </c>
      <c r="H54" s="1" t="s">
        <v>24</v>
      </c>
      <c r="I54" s="1">
        <v>0.16300000000000001</v>
      </c>
      <c r="J54" s="1" t="s">
        <v>25</v>
      </c>
      <c r="K54" s="1" t="s">
        <v>199</v>
      </c>
      <c r="L54" s="1" t="s">
        <v>200</v>
      </c>
      <c r="M54" s="1" t="s">
        <v>75</v>
      </c>
      <c r="N54" s="1" t="s">
        <v>596</v>
      </c>
      <c r="O54" s="1" t="s">
        <v>483</v>
      </c>
      <c r="P54" s="2">
        <v>0.57494562926305282</v>
      </c>
      <c r="Q54" s="2">
        <v>0.5887216002349831</v>
      </c>
      <c r="R54" s="2">
        <v>0.61187673291726641</v>
      </c>
      <c r="S54" s="1">
        <f t="shared" si="2"/>
        <v>0.59184798747176748</v>
      </c>
      <c r="T54" s="1">
        <f t="shared" si="1"/>
        <v>1.8662993520475572E-2</v>
      </c>
      <c r="U54" s="1">
        <f>_xlfn.T.TEST(P54:R54,P55:R55,2,3)</f>
        <v>4.2045668374984812E-4</v>
      </c>
    </row>
    <row r="55" spans="1:21" x14ac:dyDescent="0.3">
      <c r="A55" s="1">
        <v>54</v>
      </c>
      <c r="B55" s="1" t="s">
        <v>201</v>
      </c>
      <c r="C55" s="1">
        <v>301</v>
      </c>
      <c r="D55" s="1">
        <v>1</v>
      </c>
      <c r="E55" s="1" t="s">
        <v>198</v>
      </c>
      <c r="F55" s="1">
        <v>130042955</v>
      </c>
      <c r="G55" s="1" t="s">
        <v>72</v>
      </c>
      <c r="H55" s="1" t="s">
        <v>24</v>
      </c>
      <c r="I55" s="1">
        <v>0.16300000000000001</v>
      </c>
      <c r="J55" s="1" t="s">
        <v>25</v>
      </c>
      <c r="K55" s="1" t="s">
        <v>202</v>
      </c>
      <c r="L55" s="1" t="s">
        <v>200</v>
      </c>
      <c r="M55" s="1" t="s">
        <v>75</v>
      </c>
      <c r="N55" s="1" t="s">
        <v>596</v>
      </c>
      <c r="O55" s="1" t="s">
        <v>484</v>
      </c>
      <c r="P55" s="2">
        <v>0.78453507584933957</v>
      </c>
      <c r="Q55" s="2">
        <v>0.77069424985176216</v>
      </c>
      <c r="R55" s="2">
        <v>0.79193117095417487</v>
      </c>
      <c r="S55" s="1">
        <f t="shared" si="2"/>
        <v>0.78238683221842553</v>
      </c>
      <c r="T55" s="1">
        <f t="shared" si="1"/>
        <v>1.0780209529542902E-2</v>
      </c>
      <c r="U55" s="1" t="s">
        <v>561</v>
      </c>
    </row>
    <row r="56" spans="1:21" x14ac:dyDescent="0.3">
      <c r="A56" s="1">
        <v>55</v>
      </c>
      <c r="B56" s="1" t="s">
        <v>203</v>
      </c>
      <c r="C56" s="1">
        <v>301</v>
      </c>
      <c r="D56" s="1">
        <v>1</v>
      </c>
      <c r="E56" s="1" t="s">
        <v>204</v>
      </c>
      <c r="F56" s="1">
        <v>61961417</v>
      </c>
      <c r="G56" s="1" t="s">
        <v>15</v>
      </c>
      <c r="H56" s="1" t="s">
        <v>24</v>
      </c>
      <c r="I56" s="1">
        <v>0.85</v>
      </c>
      <c r="J56" s="1" t="s">
        <v>36</v>
      </c>
      <c r="K56" s="1" t="s">
        <v>205</v>
      </c>
      <c r="L56" s="1" t="s">
        <v>206</v>
      </c>
      <c r="M56" s="1" t="s">
        <v>173</v>
      </c>
      <c r="N56" s="1" t="s">
        <v>597</v>
      </c>
      <c r="O56" s="1" t="s">
        <v>485</v>
      </c>
      <c r="P56" s="2">
        <v>1.2138976065415858</v>
      </c>
      <c r="Q56" s="2">
        <v>1.2494734343898661</v>
      </c>
      <c r="R56" s="2">
        <v>1.2096071449564307</v>
      </c>
      <c r="S56" s="1">
        <f t="shared" si="2"/>
        <v>1.2243260619626275</v>
      </c>
      <c r="T56" s="1">
        <f t="shared" si="1"/>
        <v>2.1883664458885801E-2</v>
      </c>
      <c r="U56" s="1">
        <f>_xlfn.T.TEST(P56:R56,P57:R57,2,3)</f>
        <v>7.0708066620272017E-5</v>
      </c>
    </row>
    <row r="57" spans="1:21" x14ac:dyDescent="0.3">
      <c r="A57" s="1">
        <v>56</v>
      </c>
      <c r="B57" s="1" t="s">
        <v>207</v>
      </c>
      <c r="C57" s="1">
        <v>301</v>
      </c>
      <c r="D57" s="1">
        <v>1</v>
      </c>
      <c r="E57" s="1" t="s">
        <v>204</v>
      </c>
      <c r="F57" s="1">
        <v>61961417</v>
      </c>
      <c r="G57" s="1" t="s">
        <v>15</v>
      </c>
      <c r="H57" s="1" t="s">
        <v>24</v>
      </c>
      <c r="I57" s="1">
        <v>0.85</v>
      </c>
      <c r="J57" s="1" t="s">
        <v>36</v>
      </c>
      <c r="K57" s="1" t="s">
        <v>208</v>
      </c>
      <c r="L57" s="1" t="s">
        <v>206</v>
      </c>
      <c r="M57" s="1" t="s">
        <v>173</v>
      </c>
      <c r="N57" s="1" t="s">
        <v>597</v>
      </c>
      <c r="O57" s="1" t="s">
        <v>486</v>
      </c>
      <c r="P57" s="2">
        <v>2.5161780100272426</v>
      </c>
      <c r="Q57" s="2">
        <v>2.6134751112350947</v>
      </c>
      <c r="R57" s="2">
        <v>2.593811259744736</v>
      </c>
      <c r="S57" s="1">
        <f t="shared" si="2"/>
        <v>2.5744881270023576</v>
      </c>
      <c r="T57" s="1">
        <f t="shared" si="1"/>
        <v>5.1446273626934637E-2</v>
      </c>
      <c r="U57" s="1" t="s">
        <v>561</v>
      </c>
    </row>
    <row r="58" spans="1:21" x14ac:dyDescent="0.3">
      <c r="A58" s="1">
        <v>57</v>
      </c>
      <c r="B58" s="1" t="s">
        <v>209</v>
      </c>
      <c r="C58" s="1">
        <v>301</v>
      </c>
      <c r="D58" s="1">
        <v>1</v>
      </c>
      <c r="E58" s="1" t="s">
        <v>210</v>
      </c>
      <c r="F58" s="1">
        <v>61964631</v>
      </c>
      <c r="G58" s="1" t="s">
        <v>14</v>
      </c>
      <c r="H58" s="1" t="s">
        <v>72</v>
      </c>
      <c r="I58" s="1">
        <v>6.4000000000000001E-2</v>
      </c>
      <c r="J58" s="1" t="s">
        <v>36</v>
      </c>
      <c r="K58" s="1" t="s">
        <v>211</v>
      </c>
      <c r="L58" s="1" t="s">
        <v>206</v>
      </c>
      <c r="M58" s="1" t="s">
        <v>173</v>
      </c>
      <c r="N58" s="1" t="s">
        <v>597</v>
      </c>
      <c r="O58" s="1" t="s">
        <v>487</v>
      </c>
      <c r="P58" s="2">
        <v>1.1353434226060266</v>
      </c>
      <c r="Q58" s="2">
        <v>1.236651558966688</v>
      </c>
      <c r="R58" s="2">
        <v>1.2481908614854429</v>
      </c>
      <c r="S58" s="1">
        <f t="shared" si="2"/>
        <v>1.2067286143527192</v>
      </c>
      <c r="T58" s="1">
        <f t="shared" si="1"/>
        <v>6.2090040072372989E-2</v>
      </c>
      <c r="U58" s="1">
        <f>_xlfn.T.TEST(P58:R58,P59:R59,2,3)</f>
        <v>7.6769886748326334E-3</v>
      </c>
    </row>
    <row r="59" spans="1:21" x14ac:dyDescent="0.3">
      <c r="A59" s="1">
        <v>58</v>
      </c>
      <c r="B59" s="1" t="s">
        <v>212</v>
      </c>
      <c r="C59" s="1">
        <v>301</v>
      </c>
      <c r="D59" s="1">
        <v>1</v>
      </c>
      <c r="E59" s="1" t="s">
        <v>210</v>
      </c>
      <c r="F59" s="1">
        <v>61964631</v>
      </c>
      <c r="G59" s="1" t="s">
        <v>14</v>
      </c>
      <c r="H59" s="1" t="s">
        <v>72</v>
      </c>
      <c r="I59" s="1">
        <v>6.4000000000000001E-2</v>
      </c>
      <c r="J59" s="1" t="s">
        <v>36</v>
      </c>
      <c r="K59" s="1" t="s">
        <v>213</v>
      </c>
      <c r="L59" s="1" t="s">
        <v>206</v>
      </c>
      <c r="M59" s="1" t="s">
        <v>173</v>
      </c>
      <c r="N59" s="1" t="s">
        <v>597</v>
      </c>
      <c r="O59" s="1" t="s">
        <v>488</v>
      </c>
      <c r="P59" s="2">
        <v>0.92317383499622929</v>
      </c>
      <c r="Q59" s="2">
        <v>0.93009555506194164</v>
      </c>
      <c r="R59" s="2">
        <v>0.98029471662204593</v>
      </c>
      <c r="S59" s="1">
        <f t="shared" si="2"/>
        <v>0.94452136889340554</v>
      </c>
      <c r="T59" s="1">
        <f t="shared" si="1"/>
        <v>3.1173335688576578E-2</v>
      </c>
      <c r="U59" s="1" t="s">
        <v>561</v>
      </c>
    </row>
    <row r="60" spans="1:21" x14ac:dyDescent="0.3">
      <c r="A60" s="1">
        <v>59</v>
      </c>
      <c r="B60" s="1" t="s">
        <v>214</v>
      </c>
      <c r="C60" s="1">
        <v>384</v>
      </c>
      <c r="D60" s="1">
        <v>2</v>
      </c>
      <c r="E60" s="1" t="s">
        <v>215</v>
      </c>
      <c r="F60" s="1" t="s">
        <v>216</v>
      </c>
      <c r="G60" s="1" t="s">
        <v>35</v>
      </c>
      <c r="H60" s="1" t="s">
        <v>34</v>
      </c>
      <c r="I60" s="1" t="s">
        <v>572</v>
      </c>
      <c r="J60" s="1" t="s">
        <v>36</v>
      </c>
      <c r="K60" s="1" t="s">
        <v>217</v>
      </c>
      <c r="L60" s="1" t="s">
        <v>218</v>
      </c>
      <c r="M60" s="1" t="s">
        <v>147</v>
      </c>
      <c r="N60" s="1" t="s">
        <v>598</v>
      </c>
      <c r="O60" s="1" t="s">
        <v>489</v>
      </c>
      <c r="P60" s="2">
        <v>0.48332019620624261</v>
      </c>
      <c r="Q60" s="2">
        <v>0.51892597723475076</v>
      </c>
      <c r="R60" s="2">
        <v>0.54637420923682389</v>
      </c>
      <c r="S60" s="1">
        <f t="shared" si="2"/>
        <v>0.51620679422593907</v>
      </c>
      <c r="T60" s="1">
        <f t="shared" si="1"/>
        <v>3.1614832072806208E-2</v>
      </c>
      <c r="U60" s="1">
        <f>_xlfn.T.TEST(P60:R60,P61:R61,2,3)</f>
        <v>2.60178339766537E-2</v>
      </c>
    </row>
    <row r="61" spans="1:21" x14ac:dyDescent="0.3">
      <c r="A61" s="1">
        <v>60</v>
      </c>
      <c r="B61" s="1" t="s">
        <v>219</v>
      </c>
      <c r="C61" s="1">
        <v>384</v>
      </c>
      <c r="D61" s="1">
        <v>2</v>
      </c>
      <c r="E61" s="1" t="s">
        <v>215</v>
      </c>
      <c r="F61" s="1" t="s">
        <v>216</v>
      </c>
      <c r="G61" s="1" t="s">
        <v>35</v>
      </c>
      <c r="H61" s="1" t="s">
        <v>34</v>
      </c>
      <c r="I61" s="1" t="s">
        <v>572</v>
      </c>
      <c r="J61" s="1" t="s">
        <v>36</v>
      </c>
      <c r="K61" s="1" t="s">
        <v>220</v>
      </c>
      <c r="L61" s="1" t="s">
        <v>218</v>
      </c>
      <c r="M61" s="1" t="s">
        <v>147</v>
      </c>
      <c r="N61" s="1" t="s">
        <v>598</v>
      </c>
      <c r="O61" s="1" t="s">
        <v>490</v>
      </c>
      <c r="P61" s="2">
        <v>0.41161087117704953</v>
      </c>
      <c r="Q61" s="2">
        <v>0.46137919596661436</v>
      </c>
      <c r="R61" s="2">
        <v>0.42732312053786431</v>
      </c>
      <c r="S61" s="1">
        <f t="shared" si="2"/>
        <v>0.43343772922717605</v>
      </c>
      <c r="T61" s="1">
        <f t="shared" si="1"/>
        <v>2.5441361356213991E-2</v>
      </c>
      <c r="U61" s="1" t="s">
        <v>561</v>
      </c>
    </row>
    <row r="62" spans="1:21" x14ac:dyDescent="0.3">
      <c r="A62" s="1">
        <v>61</v>
      </c>
      <c r="B62" s="1" t="s">
        <v>221</v>
      </c>
      <c r="C62" s="1">
        <v>497</v>
      </c>
      <c r="D62" s="1">
        <v>2</v>
      </c>
      <c r="E62" s="1" t="s">
        <v>222</v>
      </c>
      <c r="F62" s="1" t="s">
        <v>223</v>
      </c>
      <c r="G62" s="1" t="s">
        <v>34</v>
      </c>
      <c r="H62" s="1" t="s">
        <v>35</v>
      </c>
      <c r="I62" s="1" t="s">
        <v>573</v>
      </c>
      <c r="J62" s="1" t="s">
        <v>36</v>
      </c>
      <c r="K62" s="1" t="s">
        <v>224</v>
      </c>
      <c r="L62" s="1" t="s">
        <v>218</v>
      </c>
      <c r="M62" s="1" t="s">
        <v>147</v>
      </c>
      <c r="N62" s="1" t="s">
        <v>598</v>
      </c>
      <c r="O62" s="1" t="s">
        <v>491</v>
      </c>
      <c r="P62" s="2">
        <v>2.8944214944293543</v>
      </c>
      <c r="Q62" s="2">
        <v>2.7457367386299905</v>
      </c>
      <c r="R62" s="2">
        <v>2.9039502841177818</v>
      </c>
      <c r="S62" s="1">
        <f t="shared" si="2"/>
        <v>2.8480361723923751</v>
      </c>
      <c r="T62" s="1">
        <f t="shared" si="1"/>
        <v>8.8721925527515594E-2</v>
      </c>
      <c r="U62" s="1">
        <f>_xlfn.T.TEST(P62:R62,P63:R63,2,3)</f>
        <v>4.2665534036100995E-4</v>
      </c>
    </row>
    <row r="63" spans="1:21" x14ac:dyDescent="0.3">
      <c r="A63" s="1">
        <v>62</v>
      </c>
      <c r="B63" s="1" t="s">
        <v>225</v>
      </c>
      <c r="C63" s="1">
        <v>497</v>
      </c>
      <c r="D63" s="1">
        <v>2</v>
      </c>
      <c r="E63" s="1" t="s">
        <v>222</v>
      </c>
      <c r="F63" s="1" t="s">
        <v>223</v>
      </c>
      <c r="G63" s="1" t="s">
        <v>34</v>
      </c>
      <c r="H63" s="1" t="s">
        <v>35</v>
      </c>
      <c r="I63" s="1" t="s">
        <v>573</v>
      </c>
      <c r="J63" s="1" t="s">
        <v>36</v>
      </c>
      <c r="K63" s="1" t="s">
        <v>226</v>
      </c>
      <c r="L63" s="1" t="s">
        <v>218</v>
      </c>
      <c r="M63" s="1" t="s">
        <v>147</v>
      </c>
      <c r="N63" s="1" t="s">
        <v>598</v>
      </c>
      <c r="O63" s="1" t="s">
        <v>492</v>
      </c>
      <c r="P63" s="2">
        <v>1.4777960094406748</v>
      </c>
      <c r="Q63" s="2">
        <v>1.4227020173309541</v>
      </c>
      <c r="R63" s="2">
        <v>1.4240372609887477</v>
      </c>
      <c r="S63" s="1">
        <f t="shared" si="2"/>
        <v>1.4415117625867921</v>
      </c>
      <c r="T63" s="1">
        <f t="shared" si="1"/>
        <v>3.1430170954379728E-2</v>
      </c>
      <c r="U63" s="1" t="s">
        <v>561</v>
      </c>
    </row>
    <row r="64" spans="1:21" x14ac:dyDescent="0.3">
      <c r="A64" s="1">
        <v>63</v>
      </c>
      <c r="B64" s="1" t="s">
        <v>227</v>
      </c>
      <c r="C64" s="1">
        <v>301</v>
      </c>
      <c r="D64" s="1">
        <v>1</v>
      </c>
      <c r="E64" s="1" t="s">
        <v>228</v>
      </c>
      <c r="F64" s="1">
        <v>124606986</v>
      </c>
      <c r="G64" s="1" t="s">
        <v>24</v>
      </c>
      <c r="H64" s="1" t="s">
        <v>15</v>
      </c>
      <c r="I64" s="1">
        <v>5.6000000000000001E-2</v>
      </c>
      <c r="J64" s="1" t="s">
        <v>36</v>
      </c>
      <c r="K64" s="1" t="s">
        <v>229</v>
      </c>
      <c r="L64" s="1" t="s">
        <v>218</v>
      </c>
      <c r="M64" s="1" t="s">
        <v>147</v>
      </c>
      <c r="N64" s="1" t="s">
        <v>598</v>
      </c>
      <c r="O64" s="1" t="s">
        <v>493</v>
      </c>
      <c r="P64" s="2">
        <v>1.5298982481722896</v>
      </c>
      <c r="Q64" s="2">
        <v>1.5105930504659038</v>
      </c>
      <c r="R64" s="2">
        <v>1.5716355736520364</v>
      </c>
      <c r="S64" s="1">
        <f t="shared" si="2"/>
        <v>1.5373756240967433</v>
      </c>
      <c r="T64" s="1">
        <f t="shared" si="1"/>
        <v>3.1200653394906429E-2</v>
      </c>
      <c r="U64" s="1">
        <f>_xlfn.T.TEST(P64:R64,P65:R65,2,3)</f>
        <v>1.3943351568908866E-5</v>
      </c>
    </row>
    <row r="65" spans="1:21" x14ac:dyDescent="0.3">
      <c r="A65" s="1">
        <v>64</v>
      </c>
      <c r="B65" s="1" t="s">
        <v>230</v>
      </c>
      <c r="C65" s="1">
        <v>301</v>
      </c>
      <c r="D65" s="1">
        <v>1</v>
      </c>
      <c r="E65" s="1" t="s">
        <v>228</v>
      </c>
      <c r="F65" s="1">
        <v>124606986</v>
      </c>
      <c r="G65" s="1" t="s">
        <v>24</v>
      </c>
      <c r="H65" s="1" t="s">
        <v>15</v>
      </c>
      <c r="I65" s="1">
        <v>5.6000000000000001E-2</v>
      </c>
      <c r="J65" s="1" t="s">
        <v>36</v>
      </c>
      <c r="K65" s="1" t="s">
        <v>231</v>
      </c>
      <c r="L65" s="1" t="s">
        <v>218</v>
      </c>
      <c r="M65" s="1" t="s">
        <v>147</v>
      </c>
      <c r="N65" s="1" t="s">
        <v>598</v>
      </c>
      <c r="O65" s="1" t="s">
        <v>494</v>
      </c>
      <c r="P65" s="2">
        <v>0.83815784014563444</v>
      </c>
      <c r="Q65" s="2">
        <v>0.81767259183888374</v>
      </c>
      <c r="R65" s="2">
        <v>0.88398732156751847</v>
      </c>
      <c r="S65" s="1">
        <f t="shared" si="2"/>
        <v>0.84660591785067896</v>
      </c>
      <c r="T65" s="1">
        <f t="shared" si="1"/>
        <v>3.395494599360039E-2</v>
      </c>
      <c r="U65" s="1" t="s">
        <v>561</v>
      </c>
    </row>
    <row r="66" spans="1:21" x14ac:dyDescent="0.3">
      <c r="A66" s="1">
        <v>65</v>
      </c>
      <c r="B66" s="1" t="s">
        <v>232</v>
      </c>
      <c r="C66" s="1">
        <v>301</v>
      </c>
      <c r="D66" s="1">
        <v>1</v>
      </c>
      <c r="E66" s="1" t="s">
        <v>233</v>
      </c>
      <c r="F66" s="1">
        <v>57571888</v>
      </c>
      <c r="G66" s="1" t="s">
        <v>24</v>
      </c>
      <c r="H66" s="1" t="s">
        <v>14</v>
      </c>
      <c r="I66" s="1">
        <v>0.14000000000000001</v>
      </c>
      <c r="J66" s="1" t="s">
        <v>44</v>
      </c>
      <c r="K66" s="1" t="s">
        <v>234</v>
      </c>
      <c r="L66" s="1" t="s">
        <v>235</v>
      </c>
      <c r="M66" s="1" t="s">
        <v>75</v>
      </c>
      <c r="N66" s="1" t="s">
        <v>599</v>
      </c>
      <c r="O66" s="1" t="s">
        <v>495</v>
      </c>
      <c r="P66" s="2">
        <v>1.9100004533106449</v>
      </c>
      <c r="Q66" s="2">
        <v>1.9362437713957159</v>
      </c>
      <c r="R66" s="2">
        <v>2.0635777754868476</v>
      </c>
      <c r="S66" s="1">
        <f t="shared" si="2"/>
        <v>1.9699406667310695</v>
      </c>
      <c r="T66" s="1">
        <f t="shared" si="1"/>
        <v>8.2146874792256214E-2</v>
      </c>
      <c r="U66" s="1">
        <f>_xlfn.T.TEST(P66:R66,P67:R67,2,3)</f>
        <v>6.81185075914341E-3</v>
      </c>
    </row>
    <row r="67" spans="1:21" x14ac:dyDescent="0.3">
      <c r="A67" s="1">
        <v>66</v>
      </c>
      <c r="B67" s="1" t="s">
        <v>236</v>
      </c>
      <c r="C67" s="1">
        <v>301</v>
      </c>
      <c r="D67" s="1">
        <v>1</v>
      </c>
      <c r="E67" s="1" t="s">
        <v>233</v>
      </c>
      <c r="F67" s="1">
        <v>57571888</v>
      </c>
      <c r="G67" s="1" t="s">
        <v>24</v>
      </c>
      <c r="H67" s="1" t="s">
        <v>14</v>
      </c>
      <c r="I67" s="1">
        <v>0.14000000000000001</v>
      </c>
      <c r="J67" s="1" t="s">
        <v>44</v>
      </c>
      <c r="K67" s="1" t="s">
        <v>237</v>
      </c>
      <c r="L67" s="1" t="s">
        <v>235</v>
      </c>
      <c r="M67" s="1" t="s">
        <v>75</v>
      </c>
      <c r="N67" s="1" t="s">
        <v>599</v>
      </c>
      <c r="O67" s="1" t="s">
        <v>496</v>
      </c>
      <c r="P67" s="2">
        <v>1.5869748214126029</v>
      </c>
      <c r="Q67" s="2">
        <v>1.7204076116819307</v>
      </c>
      <c r="R67" s="2">
        <v>1.6274979465514749</v>
      </c>
      <c r="S67" s="1">
        <f t="shared" si="2"/>
        <v>1.6449601265486695</v>
      </c>
      <c r="T67" s="1">
        <f t="shared" ref="T67:T130" si="3">STDEV(P67:R67)</f>
        <v>6.8408867681430147E-2</v>
      </c>
      <c r="U67" s="1" t="s">
        <v>561</v>
      </c>
    </row>
    <row r="68" spans="1:21" x14ac:dyDescent="0.3">
      <c r="A68" s="1">
        <v>67</v>
      </c>
      <c r="B68" s="1" t="s">
        <v>238</v>
      </c>
      <c r="C68" s="1">
        <v>301</v>
      </c>
      <c r="D68" s="1">
        <v>1</v>
      </c>
      <c r="E68" s="1" t="s">
        <v>239</v>
      </c>
      <c r="F68" s="1">
        <v>128568530</v>
      </c>
      <c r="G68" s="1" t="s">
        <v>14</v>
      </c>
      <c r="H68" s="1" t="s">
        <v>72</v>
      </c>
      <c r="I68" s="1">
        <v>0.115</v>
      </c>
      <c r="J68" s="1" t="s">
        <v>170</v>
      </c>
      <c r="K68" s="1" t="s">
        <v>240</v>
      </c>
      <c r="L68" s="1" t="s">
        <v>241</v>
      </c>
      <c r="M68" s="1" t="s">
        <v>173</v>
      </c>
      <c r="N68" s="1" t="s">
        <v>600</v>
      </c>
      <c r="O68" s="1" t="s">
        <v>497</v>
      </c>
      <c r="P68" s="2">
        <v>1.1381806706028812</v>
      </c>
      <c r="Q68" s="2">
        <v>1.2064850492676824</v>
      </c>
      <c r="R68" s="2">
        <v>1.1022863856834015</v>
      </c>
      <c r="S68" s="1">
        <f t="shared" si="2"/>
        <v>1.148984035184655</v>
      </c>
      <c r="T68" s="1">
        <f t="shared" si="3"/>
        <v>5.2932739282060395E-2</v>
      </c>
      <c r="U68" s="1">
        <f>_xlfn.T.TEST(P68:R68,P69:R69,2,3)</f>
        <v>6.2521255417136878E-2</v>
      </c>
    </row>
    <row r="69" spans="1:21" x14ac:dyDescent="0.3">
      <c r="A69" s="1">
        <v>68</v>
      </c>
      <c r="B69" s="1" t="s">
        <v>242</v>
      </c>
      <c r="C69" s="1">
        <v>301</v>
      </c>
      <c r="D69" s="1">
        <v>1</v>
      </c>
      <c r="E69" s="1" t="s">
        <v>239</v>
      </c>
      <c r="F69" s="1">
        <v>128568530</v>
      </c>
      <c r="G69" s="1" t="s">
        <v>14</v>
      </c>
      <c r="H69" s="1" t="s">
        <v>72</v>
      </c>
      <c r="I69" s="1">
        <v>0.115</v>
      </c>
      <c r="J69" s="1" t="s">
        <v>170</v>
      </c>
      <c r="K69" s="1" t="s">
        <v>243</v>
      </c>
      <c r="L69" s="1" t="s">
        <v>241</v>
      </c>
      <c r="M69" s="1" t="s">
        <v>173</v>
      </c>
      <c r="N69" s="1" t="s">
        <v>600</v>
      </c>
      <c r="O69" s="1" t="s">
        <v>498</v>
      </c>
      <c r="P69" s="2">
        <v>1.0417061308125284</v>
      </c>
      <c r="Q69" s="2">
        <v>1.0574467286439795</v>
      </c>
      <c r="R69" s="2">
        <v>1.0262608262481037</v>
      </c>
      <c r="S69" s="1">
        <f t="shared" ref="S69:S131" si="4">AVERAGE(P69:R69)</f>
        <v>1.041804561901537</v>
      </c>
      <c r="T69" s="1">
        <f t="shared" si="3"/>
        <v>1.5593184202424335E-2</v>
      </c>
      <c r="U69" s="1" t="s">
        <v>561</v>
      </c>
    </row>
    <row r="70" spans="1:21" x14ac:dyDescent="0.3">
      <c r="A70" s="1">
        <v>69</v>
      </c>
      <c r="B70" s="1" t="s">
        <v>244</v>
      </c>
      <c r="C70" s="1">
        <v>301</v>
      </c>
      <c r="D70" s="1">
        <v>1</v>
      </c>
      <c r="E70" s="1" t="s">
        <v>245</v>
      </c>
      <c r="F70" s="1">
        <v>93590965</v>
      </c>
      <c r="G70" s="1" t="s">
        <v>15</v>
      </c>
      <c r="H70" s="1" t="s">
        <v>24</v>
      </c>
      <c r="I70" s="1">
        <v>0.48299999999999998</v>
      </c>
      <c r="J70" s="1" t="s">
        <v>36</v>
      </c>
      <c r="K70" s="1" t="s">
        <v>246</v>
      </c>
      <c r="L70" s="1" t="s">
        <v>247</v>
      </c>
      <c r="M70" s="1" t="s">
        <v>75</v>
      </c>
      <c r="N70" s="1" t="s">
        <v>601</v>
      </c>
      <c r="O70" s="1" t="s">
        <v>499</v>
      </c>
      <c r="P70" s="2">
        <v>0.53876525010070486</v>
      </c>
      <c r="Q70" s="2">
        <v>0.52444333129608689</v>
      </c>
      <c r="R70" s="2">
        <v>0.53284916037778773</v>
      </c>
      <c r="S70" s="1">
        <f t="shared" si="4"/>
        <v>0.53201924725819316</v>
      </c>
      <c r="T70" s="1">
        <f t="shared" si="3"/>
        <v>7.196937293118085E-3</v>
      </c>
      <c r="U70" s="1">
        <f>_xlfn.T.TEST(P70:R70,P71:R71,2,3)</f>
        <v>3.4027151027683994E-4</v>
      </c>
    </row>
    <row r="71" spans="1:21" x14ac:dyDescent="0.3">
      <c r="A71" s="1">
        <v>70</v>
      </c>
      <c r="B71" s="1" t="s">
        <v>248</v>
      </c>
      <c r="C71" s="1">
        <v>301</v>
      </c>
      <c r="D71" s="1">
        <v>1</v>
      </c>
      <c r="E71" s="1" t="s">
        <v>245</v>
      </c>
      <c r="F71" s="1">
        <v>93590965</v>
      </c>
      <c r="G71" s="1" t="s">
        <v>15</v>
      </c>
      <c r="H71" s="1" t="s">
        <v>24</v>
      </c>
      <c r="I71" s="1">
        <v>0.48299999999999998</v>
      </c>
      <c r="J71" s="1" t="s">
        <v>36</v>
      </c>
      <c r="K71" s="1" t="s">
        <v>249</v>
      </c>
      <c r="L71" s="1" t="s">
        <v>247</v>
      </c>
      <c r="M71" s="1" t="s">
        <v>75</v>
      </c>
      <c r="N71" s="1" t="s">
        <v>601</v>
      </c>
      <c r="O71" s="1" t="s">
        <v>500</v>
      </c>
      <c r="P71" s="2">
        <v>0.62275083871544046</v>
      </c>
      <c r="Q71" s="2">
        <v>0.60736052022048681</v>
      </c>
      <c r="R71" s="2">
        <v>0.60718141432186945</v>
      </c>
      <c r="S71" s="1">
        <f t="shared" si="4"/>
        <v>0.6124309244192655</v>
      </c>
      <c r="T71" s="1">
        <f t="shared" si="3"/>
        <v>8.9377566000102045E-3</v>
      </c>
      <c r="U71" s="1" t="s">
        <v>561</v>
      </c>
    </row>
    <row r="72" spans="1:21" x14ac:dyDescent="0.3">
      <c r="A72" s="1">
        <v>71</v>
      </c>
      <c r="B72" s="1" t="s">
        <v>250</v>
      </c>
      <c r="C72" s="1">
        <v>301</v>
      </c>
      <c r="D72" s="1">
        <v>1</v>
      </c>
      <c r="E72" s="1" t="s">
        <v>251</v>
      </c>
      <c r="F72" s="1">
        <v>96192843</v>
      </c>
      <c r="G72" s="1" t="s">
        <v>14</v>
      </c>
      <c r="H72" s="1" t="s">
        <v>72</v>
      </c>
      <c r="I72" s="1">
        <v>0.215</v>
      </c>
      <c r="J72" s="1" t="s">
        <v>36</v>
      </c>
      <c r="K72" s="1" t="s">
        <v>252</v>
      </c>
      <c r="L72" s="1" t="s">
        <v>253</v>
      </c>
      <c r="M72" s="1" t="s">
        <v>188</v>
      </c>
      <c r="N72" s="1" t="s">
        <v>602</v>
      </c>
      <c r="O72" s="1" t="s">
        <v>501</v>
      </c>
      <c r="P72" s="2">
        <v>0.6474705813474726</v>
      </c>
      <c r="Q72" s="2">
        <v>0.62501986686783229</v>
      </c>
      <c r="R72" s="2">
        <v>0.65163130876232866</v>
      </c>
      <c r="S72" s="1">
        <f t="shared" si="4"/>
        <v>0.64137391899254448</v>
      </c>
      <c r="T72" s="1">
        <f t="shared" si="3"/>
        <v>1.4314998387304736E-2</v>
      </c>
      <c r="U72" s="1">
        <f>_xlfn.T.TEST(P72:R72,P73:R73,2,3)</f>
        <v>4.3196242961077402E-4</v>
      </c>
    </row>
    <row r="73" spans="1:21" x14ac:dyDescent="0.3">
      <c r="A73" s="1">
        <v>72</v>
      </c>
      <c r="B73" s="1" t="s">
        <v>254</v>
      </c>
      <c r="C73" s="1">
        <v>301</v>
      </c>
      <c r="D73" s="1">
        <v>1</v>
      </c>
      <c r="E73" s="1" t="s">
        <v>251</v>
      </c>
      <c r="F73" s="1">
        <v>96192843</v>
      </c>
      <c r="G73" s="1" t="s">
        <v>14</v>
      </c>
      <c r="H73" s="1" t="s">
        <v>72</v>
      </c>
      <c r="I73" s="1">
        <v>0.215</v>
      </c>
      <c r="J73" s="1" t="s">
        <v>36</v>
      </c>
      <c r="K73" s="1" t="s">
        <v>255</v>
      </c>
      <c r="L73" s="1" t="s">
        <v>253</v>
      </c>
      <c r="M73" s="1" t="s">
        <v>188</v>
      </c>
      <c r="N73" s="1" t="s">
        <v>602</v>
      </c>
      <c r="O73" s="1" t="s">
        <v>502</v>
      </c>
      <c r="P73" s="2">
        <v>0.81578488105585423</v>
      </c>
      <c r="Q73" s="2">
        <v>0.78403791874833928</v>
      </c>
      <c r="R73" s="2">
        <v>0.78478109887522929</v>
      </c>
      <c r="S73" s="1">
        <f t="shared" si="4"/>
        <v>0.79486796622647427</v>
      </c>
      <c r="T73" s="1">
        <f t="shared" si="3"/>
        <v>1.8118390482046207E-2</v>
      </c>
      <c r="U73" s="1" t="s">
        <v>561</v>
      </c>
    </row>
    <row r="74" spans="1:21" x14ac:dyDescent="0.3">
      <c r="A74" s="1">
        <v>73</v>
      </c>
      <c r="B74" s="1" t="s">
        <v>256</v>
      </c>
      <c r="C74" s="1">
        <v>301</v>
      </c>
      <c r="D74" s="1">
        <v>1</v>
      </c>
      <c r="E74" s="1" t="s">
        <v>257</v>
      </c>
      <c r="F74" s="1">
        <v>96198310</v>
      </c>
      <c r="G74" s="1" t="s">
        <v>14</v>
      </c>
      <c r="H74" s="1" t="s">
        <v>15</v>
      </c>
      <c r="I74" s="1">
        <v>0.123</v>
      </c>
      <c r="J74" s="1" t="s">
        <v>36</v>
      </c>
      <c r="K74" s="1" t="s">
        <v>258</v>
      </c>
      <c r="L74" s="1" t="s">
        <v>259</v>
      </c>
      <c r="M74" s="1" t="s">
        <v>39</v>
      </c>
      <c r="N74" s="1" t="s">
        <v>602</v>
      </c>
      <c r="O74" s="1" t="s">
        <v>503</v>
      </c>
      <c r="P74" s="2">
        <v>0.90821137532298446</v>
      </c>
      <c r="Q74" s="2">
        <v>0.92516375158586528</v>
      </c>
      <c r="R74" s="2">
        <v>0.87350545239505173</v>
      </c>
      <c r="S74" s="1">
        <f t="shared" si="4"/>
        <v>0.9022935264346339</v>
      </c>
      <c r="T74" s="1">
        <f t="shared" si="3"/>
        <v>2.6332692046597071E-2</v>
      </c>
      <c r="U74" s="1">
        <f>_xlfn.T.TEST(P74:R74,P75:R75,2,3)</f>
        <v>3.214311486968733E-2</v>
      </c>
    </row>
    <row r="75" spans="1:21" x14ac:dyDescent="0.3">
      <c r="A75" s="1">
        <v>74</v>
      </c>
      <c r="B75" s="1" t="s">
        <v>260</v>
      </c>
      <c r="C75" s="1">
        <v>301</v>
      </c>
      <c r="D75" s="1">
        <v>1</v>
      </c>
      <c r="E75" s="1" t="s">
        <v>257</v>
      </c>
      <c r="F75" s="1">
        <v>96198310</v>
      </c>
      <c r="G75" s="1" t="s">
        <v>14</v>
      </c>
      <c r="H75" s="1" t="s">
        <v>15</v>
      </c>
      <c r="I75" s="1">
        <v>0.123</v>
      </c>
      <c r="J75" s="1" t="s">
        <v>36</v>
      </c>
      <c r="K75" s="1" t="s">
        <v>261</v>
      </c>
      <c r="L75" s="1" t="s">
        <v>259</v>
      </c>
      <c r="M75" s="1" t="s">
        <v>39</v>
      </c>
      <c r="N75" s="1" t="s">
        <v>602</v>
      </c>
      <c r="O75" s="1" t="s">
        <v>504</v>
      </c>
      <c r="P75" s="2">
        <v>0.84764140105985453</v>
      </c>
      <c r="Q75" s="2">
        <v>0.82758085050551355</v>
      </c>
      <c r="R75" s="2">
        <v>0.82888009977285915</v>
      </c>
      <c r="S75" s="1">
        <f t="shared" si="4"/>
        <v>0.83470078377940915</v>
      </c>
      <c r="T75" s="1">
        <f t="shared" si="3"/>
        <v>1.1225715739492831E-2</v>
      </c>
      <c r="U75" s="1" t="s">
        <v>561</v>
      </c>
    </row>
    <row r="76" spans="1:21" x14ac:dyDescent="0.3">
      <c r="A76" s="1">
        <v>75</v>
      </c>
      <c r="B76" s="1" t="s">
        <v>262</v>
      </c>
      <c r="C76" s="1">
        <v>301</v>
      </c>
      <c r="D76" s="1">
        <v>1</v>
      </c>
      <c r="E76" s="1" t="s">
        <v>263</v>
      </c>
      <c r="F76" s="1">
        <v>96204171</v>
      </c>
      <c r="G76" s="1" t="s">
        <v>72</v>
      </c>
      <c r="H76" s="1" t="s">
        <v>24</v>
      </c>
      <c r="I76" s="1">
        <v>9.2999999999999999E-2</v>
      </c>
      <c r="J76" s="1" t="s">
        <v>36</v>
      </c>
      <c r="K76" s="1" t="s">
        <v>264</v>
      </c>
      <c r="L76" s="1" t="s">
        <v>259</v>
      </c>
      <c r="M76" s="1" t="s">
        <v>19</v>
      </c>
      <c r="N76" s="1" t="s">
        <v>602</v>
      </c>
      <c r="O76" s="1" t="s">
        <v>505</v>
      </c>
      <c r="P76" s="2">
        <v>0.57149424044961361</v>
      </c>
      <c r="Q76" s="2">
        <v>0.63955442259232986</v>
      </c>
      <c r="R76" s="2">
        <v>0.60746962538294169</v>
      </c>
      <c r="S76" s="1">
        <f t="shared" si="4"/>
        <v>0.60617276280829502</v>
      </c>
      <c r="T76" s="1">
        <f t="shared" si="3"/>
        <v>3.4048619468754787E-2</v>
      </c>
      <c r="U76" s="1">
        <f>_xlfn.T.TEST(P76:R76,P77:R77,2,3)</f>
        <v>0.22186013749232467</v>
      </c>
    </row>
    <row r="77" spans="1:21" x14ac:dyDescent="0.3">
      <c r="A77" s="1">
        <v>76</v>
      </c>
      <c r="B77" s="1" t="s">
        <v>265</v>
      </c>
      <c r="C77" s="1">
        <v>301</v>
      </c>
      <c r="D77" s="1">
        <v>1</v>
      </c>
      <c r="E77" s="1" t="s">
        <v>263</v>
      </c>
      <c r="F77" s="1">
        <v>96204171</v>
      </c>
      <c r="G77" s="1" t="s">
        <v>72</v>
      </c>
      <c r="H77" s="1" t="s">
        <v>24</v>
      </c>
      <c r="I77" s="1">
        <v>9.2999999999999999E-2</v>
      </c>
      <c r="J77" s="1" t="s">
        <v>36</v>
      </c>
      <c r="K77" s="1" t="s">
        <v>266</v>
      </c>
      <c r="L77" s="1" t="s">
        <v>259</v>
      </c>
      <c r="M77" s="1" t="s">
        <v>19</v>
      </c>
      <c r="N77" s="1" t="s">
        <v>602</v>
      </c>
      <c r="O77" s="1" t="s">
        <v>506</v>
      </c>
      <c r="P77" s="2">
        <v>0.62556934948561993</v>
      </c>
      <c r="Q77" s="2">
        <v>0.65324298428314675</v>
      </c>
      <c r="R77" s="2">
        <v>0.64097432088025219</v>
      </c>
      <c r="S77" s="1">
        <f t="shared" si="4"/>
        <v>0.63992888488300625</v>
      </c>
      <c r="T77" s="1">
        <f t="shared" si="3"/>
        <v>1.3866406096929912E-2</v>
      </c>
      <c r="U77" s="1" t="s">
        <v>561</v>
      </c>
    </row>
    <row r="78" spans="1:21" x14ac:dyDescent="0.3">
      <c r="A78" s="1">
        <v>77</v>
      </c>
      <c r="B78" s="1" t="s">
        <v>267</v>
      </c>
      <c r="C78" s="1">
        <v>301</v>
      </c>
      <c r="D78" s="1">
        <v>1</v>
      </c>
      <c r="E78" s="1" t="s">
        <v>268</v>
      </c>
      <c r="F78" s="1">
        <v>96208442</v>
      </c>
      <c r="G78" s="1" t="s">
        <v>72</v>
      </c>
      <c r="H78" s="1" t="s">
        <v>15</v>
      </c>
      <c r="I78" s="1">
        <v>0.13200000000000001</v>
      </c>
      <c r="J78" s="1" t="s">
        <v>36</v>
      </c>
      <c r="K78" s="1" t="s">
        <v>269</v>
      </c>
      <c r="L78" s="1" t="s">
        <v>259</v>
      </c>
      <c r="M78" s="1" t="s">
        <v>39</v>
      </c>
      <c r="N78" s="1" t="s">
        <v>602</v>
      </c>
      <c r="O78" s="1" t="s">
        <v>507</v>
      </c>
      <c r="P78" s="2">
        <v>1.4337206880882616</v>
      </c>
      <c r="Q78" s="2">
        <v>1.4529012474898726</v>
      </c>
      <c r="R78" s="2">
        <v>1.4540200466197364</v>
      </c>
      <c r="S78" s="1">
        <f t="shared" si="4"/>
        <v>1.4468806607326234</v>
      </c>
      <c r="T78" s="1">
        <f t="shared" si="3"/>
        <v>1.1410591039622437E-2</v>
      </c>
      <c r="U78" s="1">
        <f>_xlfn.T.TEST(P78:R78,P79:R79,2,3)</f>
        <v>2.7214192065584339E-4</v>
      </c>
    </row>
    <row r="79" spans="1:21" x14ac:dyDescent="0.3">
      <c r="A79" s="1">
        <v>78</v>
      </c>
      <c r="B79" s="1" t="s">
        <v>270</v>
      </c>
      <c r="C79" s="1">
        <v>301</v>
      </c>
      <c r="D79" s="1">
        <v>1</v>
      </c>
      <c r="E79" s="1" t="s">
        <v>268</v>
      </c>
      <c r="F79" s="1">
        <v>96208442</v>
      </c>
      <c r="G79" s="1" t="s">
        <v>72</v>
      </c>
      <c r="H79" s="1" t="s">
        <v>15</v>
      </c>
      <c r="I79" s="1">
        <v>0.13200000000000001</v>
      </c>
      <c r="J79" s="1" t="s">
        <v>36</v>
      </c>
      <c r="K79" s="1" t="s">
        <v>271</v>
      </c>
      <c r="L79" s="1" t="s">
        <v>259</v>
      </c>
      <c r="M79" s="1" t="s">
        <v>39</v>
      </c>
      <c r="N79" s="1" t="s">
        <v>602</v>
      </c>
      <c r="O79" s="1" t="s">
        <v>508</v>
      </c>
      <c r="P79" s="2">
        <v>0.88198447988074435</v>
      </c>
      <c r="Q79" s="2">
        <v>0.89890231099003703</v>
      </c>
      <c r="R79" s="2">
        <v>0.83851729477014392</v>
      </c>
      <c r="S79" s="1">
        <f t="shared" si="4"/>
        <v>0.87313469521364173</v>
      </c>
      <c r="T79" s="1">
        <f t="shared" si="3"/>
        <v>3.1150065207953447E-2</v>
      </c>
      <c r="U79" s="1" t="s">
        <v>561</v>
      </c>
    </row>
    <row r="80" spans="1:21" x14ac:dyDescent="0.3">
      <c r="A80" s="1">
        <v>79</v>
      </c>
      <c r="B80" s="1" t="s">
        <v>272</v>
      </c>
      <c r="C80" s="1">
        <v>301</v>
      </c>
      <c r="D80" s="1">
        <v>1</v>
      </c>
      <c r="E80" s="1" t="s">
        <v>273</v>
      </c>
      <c r="F80" s="1">
        <v>96213111</v>
      </c>
      <c r="G80" s="1" t="s">
        <v>14</v>
      </c>
      <c r="H80" s="1" t="s">
        <v>72</v>
      </c>
      <c r="I80" s="1">
        <v>0.13400000000000001</v>
      </c>
      <c r="J80" s="1" t="s">
        <v>36</v>
      </c>
      <c r="K80" s="1" t="s">
        <v>274</v>
      </c>
      <c r="L80" s="1" t="s">
        <v>275</v>
      </c>
      <c r="M80" s="1" t="s">
        <v>173</v>
      </c>
      <c r="N80" s="1" t="s">
        <v>602</v>
      </c>
      <c r="O80" s="1" t="s">
        <v>509</v>
      </c>
      <c r="P80" s="2">
        <v>1.3486684138496929</v>
      </c>
      <c r="Q80" s="2">
        <v>1.4841508352717971</v>
      </c>
      <c r="R80" s="2">
        <v>1.3244239607888861</v>
      </c>
      <c r="S80" s="1">
        <f t="shared" si="4"/>
        <v>1.3857477366367921</v>
      </c>
      <c r="T80" s="1">
        <f t="shared" si="3"/>
        <v>8.6077440376572056E-2</v>
      </c>
      <c r="U80" s="1">
        <f>_xlfn.T.TEST(P80:R80,P81:R81,2,3)</f>
        <v>1.6256342015976265E-3</v>
      </c>
    </row>
    <row r="81" spans="1:21" x14ac:dyDescent="0.3">
      <c r="A81" s="1">
        <v>80</v>
      </c>
      <c r="B81" s="1" t="s">
        <v>276</v>
      </c>
      <c r="C81" s="1">
        <v>301</v>
      </c>
      <c r="D81" s="1">
        <v>1</v>
      </c>
      <c r="E81" s="1" t="s">
        <v>273</v>
      </c>
      <c r="F81" s="1">
        <v>96213111</v>
      </c>
      <c r="G81" s="1" t="s">
        <v>14</v>
      </c>
      <c r="H81" s="1" t="s">
        <v>72</v>
      </c>
      <c r="I81" s="1">
        <v>0.13400000000000001</v>
      </c>
      <c r="J81" s="1" t="s">
        <v>36</v>
      </c>
      <c r="K81" s="1" t="s">
        <v>277</v>
      </c>
      <c r="L81" s="1" t="s">
        <v>275</v>
      </c>
      <c r="M81" s="1" t="s">
        <v>173</v>
      </c>
      <c r="N81" s="1" t="s">
        <v>602</v>
      </c>
      <c r="O81" s="1" t="s">
        <v>510</v>
      </c>
      <c r="P81" s="2">
        <v>0.50582998862974371</v>
      </c>
      <c r="Q81" s="2">
        <v>0.55970716798316711</v>
      </c>
      <c r="R81" s="2">
        <v>0.54092086333087652</v>
      </c>
      <c r="S81" s="1">
        <f t="shared" si="4"/>
        <v>0.53548600664792911</v>
      </c>
      <c r="T81" s="1">
        <f t="shared" si="3"/>
        <v>2.7346679216010337E-2</v>
      </c>
      <c r="U81" s="1" t="s">
        <v>561</v>
      </c>
    </row>
    <row r="82" spans="1:21" x14ac:dyDescent="0.3">
      <c r="A82" s="1">
        <v>81</v>
      </c>
      <c r="B82" s="1" t="s">
        <v>278</v>
      </c>
      <c r="C82" s="1">
        <v>301</v>
      </c>
      <c r="D82" s="1">
        <v>1</v>
      </c>
      <c r="E82" s="1" t="s">
        <v>279</v>
      </c>
      <c r="F82" s="1">
        <v>103928436</v>
      </c>
      <c r="G82" s="1" t="s">
        <v>24</v>
      </c>
      <c r="H82" s="1" t="s">
        <v>15</v>
      </c>
      <c r="I82" s="1">
        <v>0.29899999999999999</v>
      </c>
      <c r="J82" s="1" t="s">
        <v>16</v>
      </c>
      <c r="K82" s="1" t="s">
        <v>280</v>
      </c>
      <c r="L82" s="1" t="s">
        <v>281</v>
      </c>
      <c r="M82" s="1" t="s">
        <v>54</v>
      </c>
      <c r="N82" s="1" t="s">
        <v>603</v>
      </c>
      <c r="O82" s="1" t="s">
        <v>511</v>
      </c>
      <c r="P82" s="2">
        <v>0.31990202237847326</v>
      </c>
      <c r="Q82" s="2">
        <v>0.36670715604831544</v>
      </c>
      <c r="R82" s="2">
        <v>0.36116136557825312</v>
      </c>
      <c r="S82" s="1">
        <f t="shared" si="4"/>
        <v>0.34925684800168061</v>
      </c>
      <c r="T82" s="1">
        <f t="shared" si="3"/>
        <v>2.5572803688902426E-2</v>
      </c>
      <c r="U82" s="1">
        <f>_xlfn.T.TEST(P82:R82,P83:R83,2,3)</f>
        <v>5.1355476045508628E-5</v>
      </c>
    </row>
    <row r="83" spans="1:21" x14ac:dyDescent="0.3">
      <c r="A83" s="1">
        <v>82</v>
      </c>
      <c r="B83" s="1" t="s">
        <v>282</v>
      </c>
      <c r="C83" s="1">
        <v>301</v>
      </c>
      <c r="D83" s="1">
        <v>1</v>
      </c>
      <c r="E83" s="1" t="s">
        <v>279</v>
      </c>
      <c r="F83" s="1">
        <v>103928436</v>
      </c>
      <c r="G83" s="1" t="s">
        <v>24</v>
      </c>
      <c r="H83" s="1" t="s">
        <v>15</v>
      </c>
      <c r="I83" s="1">
        <v>0.29899999999999999</v>
      </c>
      <c r="J83" s="1" t="s">
        <v>16</v>
      </c>
      <c r="K83" s="1" t="s">
        <v>283</v>
      </c>
      <c r="L83" s="1" t="s">
        <v>281</v>
      </c>
      <c r="M83" s="1" t="s">
        <v>54</v>
      </c>
      <c r="N83" s="1" t="s">
        <v>603</v>
      </c>
      <c r="O83" s="1" t="s">
        <v>512</v>
      </c>
      <c r="P83" s="2">
        <v>1.4464725851877809</v>
      </c>
      <c r="Q83" s="2">
        <v>1.4564636838955498</v>
      </c>
      <c r="R83" s="2">
        <v>1.4619851308537237</v>
      </c>
      <c r="S83" s="1">
        <f t="shared" si="4"/>
        <v>1.4549737999790182</v>
      </c>
      <c r="T83" s="1">
        <f t="shared" si="3"/>
        <v>7.8628610456401519E-3</v>
      </c>
      <c r="U83" s="1" t="s">
        <v>561</v>
      </c>
    </row>
    <row r="84" spans="1:21" x14ac:dyDescent="0.3">
      <c r="A84" s="1">
        <v>83</v>
      </c>
      <c r="B84" s="1" t="s">
        <v>284</v>
      </c>
      <c r="C84" s="1">
        <v>301</v>
      </c>
      <c r="D84" s="1">
        <v>1</v>
      </c>
      <c r="E84" s="1" t="s">
        <v>285</v>
      </c>
      <c r="F84" s="1">
        <v>103965276</v>
      </c>
      <c r="G84" s="1" t="s">
        <v>24</v>
      </c>
      <c r="H84" s="1" t="s">
        <v>15</v>
      </c>
      <c r="I84" s="1">
        <v>0.35599999999999998</v>
      </c>
      <c r="J84" s="1" t="s">
        <v>16</v>
      </c>
      <c r="K84" s="1" t="s">
        <v>286</v>
      </c>
      <c r="L84" s="1" t="s">
        <v>281</v>
      </c>
      <c r="M84" s="1" t="s">
        <v>54</v>
      </c>
      <c r="N84" s="1" t="s">
        <v>603</v>
      </c>
      <c r="O84" s="1" t="s">
        <v>513</v>
      </c>
      <c r="P84" s="2">
        <v>1.254128131447843</v>
      </c>
      <c r="Q84" s="2">
        <v>1.3996884329593793</v>
      </c>
      <c r="R84" s="2">
        <v>1.3525222969467443</v>
      </c>
      <c r="S84" s="1">
        <f t="shared" si="4"/>
        <v>1.3354462871179889</v>
      </c>
      <c r="T84" s="1">
        <f t="shared" si="3"/>
        <v>7.4267374585252136E-2</v>
      </c>
      <c r="U84" s="1">
        <f>_xlfn.T.TEST(P84:R84,P85:R85,2,3)</f>
        <v>2.5180948299724695E-2</v>
      </c>
    </row>
    <row r="85" spans="1:21" x14ac:dyDescent="0.3">
      <c r="A85" s="1">
        <v>84</v>
      </c>
      <c r="B85" s="1" t="s">
        <v>287</v>
      </c>
      <c r="C85" s="1">
        <v>301</v>
      </c>
      <c r="D85" s="1">
        <v>1</v>
      </c>
      <c r="E85" s="1" t="s">
        <v>285</v>
      </c>
      <c r="F85" s="1">
        <v>103965276</v>
      </c>
      <c r="G85" s="1" t="s">
        <v>24</v>
      </c>
      <c r="H85" s="1" t="s">
        <v>15</v>
      </c>
      <c r="I85" s="1">
        <v>0.35599999999999998</v>
      </c>
      <c r="J85" s="1" t="s">
        <v>16</v>
      </c>
      <c r="K85" s="1" t="s">
        <v>288</v>
      </c>
      <c r="L85" s="1" t="s">
        <v>281</v>
      </c>
      <c r="M85" s="1" t="s">
        <v>54</v>
      </c>
      <c r="N85" s="1" t="s">
        <v>603</v>
      </c>
      <c r="O85" s="1" t="s">
        <v>514</v>
      </c>
      <c r="P85" s="2">
        <v>1.0840296873778348</v>
      </c>
      <c r="Q85" s="2">
        <v>1.1426450948365772</v>
      </c>
      <c r="R85" s="2">
        <v>1.1956231390465024</v>
      </c>
      <c r="S85" s="1">
        <f t="shared" si="4"/>
        <v>1.140765973753638</v>
      </c>
      <c r="T85" s="1">
        <f t="shared" si="3"/>
        <v>5.5820452666250152E-2</v>
      </c>
      <c r="U85" s="1" t="s">
        <v>561</v>
      </c>
    </row>
    <row r="86" spans="1:21" x14ac:dyDescent="0.3">
      <c r="A86" s="1">
        <v>85</v>
      </c>
      <c r="B86" s="1" t="s">
        <v>289</v>
      </c>
      <c r="C86" s="1">
        <v>301</v>
      </c>
      <c r="D86" s="1">
        <v>1</v>
      </c>
      <c r="E86" s="1" t="s">
        <v>290</v>
      </c>
      <c r="F86" s="1">
        <v>116662408</v>
      </c>
      <c r="G86" s="1" t="s">
        <v>14</v>
      </c>
      <c r="H86" s="1" t="s">
        <v>72</v>
      </c>
      <c r="I86" s="1">
        <v>0.10100000000000001</v>
      </c>
      <c r="J86" s="1" t="s">
        <v>36</v>
      </c>
      <c r="K86" s="1" t="s">
        <v>291</v>
      </c>
      <c r="L86" s="1" t="s">
        <v>292</v>
      </c>
      <c r="M86" s="1" t="s">
        <v>47</v>
      </c>
      <c r="N86" s="1" t="s">
        <v>604</v>
      </c>
      <c r="O86" s="1" t="s">
        <v>515</v>
      </c>
      <c r="P86" s="2">
        <v>0.79184642553560702</v>
      </c>
      <c r="Q86" s="2">
        <v>0.87066133719841321</v>
      </c>
      <c r="R86" s="2">
        <v>0.86761191947151051</v>
      </c>
      <c r="S86" s="1">
        <f t="shared" si="4"/>
        <v>0.84337322740184362</v>
      </c>
      <c r="T86" s="1">
        <f t="shared" si="3"/>
        <v>4.4649560132660727E-2</v>
      </c>
      <c r="U86" s="1">
        <f>_xlfn.T.TEST(P86:R86,P87:R87,2,3)</f>
        <v>1.3003586436589403E-2</v>
      </c>
    </row>
    <row r="87" spans="1:21" x14ac:dyDescent="0.3">
      <c r="A87" s="1">
        <v>86</v>
      </c>
      <c r="B87" s="1" t="s">
        <v>293</v>
      </c>
      <c r="C87" s="1">
        <v>301</v>
      </c>
      <c r="D87" s="1">
        <v>1</v>
      </c>
      <c r="E87" s="1" t="s">
        <v>290</v>
      </c>
      <c r="F87" s="1">
        <v>116662408</v>
      </c>
      <c r="G87" s="1" t="s">
        <v>14</v>
      </c>
      <c r="H87" s="1" t="s">
        <v>72</v>
      </c>
      <c r="I87" s="1">
        <v>0.10100000000000001</v>
      </c>
      <c r="J87" s="1" t="s">
        <v>36</v>
      </c>
      <c r="K87" s="1" t="s">
        <v>294</v>
      </c>
      <c r="L87" s="1" t="s">
        <v>292</v>
      </c>
      <c r="M87" s="1" t="s">
        <v>47</v>
      </c>
      <c r="N87" s="1" t="s">
        <v>604</v>
      </c>
      <c r="O87" s="1" t="s">
        <v>516</v>
      </c>
      <c r="P87" s="2">
        <v>0.63865582338588234</v>
      </c>
      <c r="Q87" s="2">
        <v>0.70223940561910603</v>
      </c>
      <c r="R87" s="2">
        <v>0.72411422262292668</v>
      </c>
      <c r="S87" s="1">
        <f t="shared" si="4"/>
        <v>0.68833648387597179</v>
      </c>
      <c r="T87" s="1">
        <f t="shared" si="3"/>
        <v>4.4393163041016842E-2</v>
      </c>
      <c r="U87" s="1" t="s">
        <v>561</v>
      </c>
    </row>
    <row r="88" spans="1:21" x14ac:dyDescent="0.3">
      <c r="A88" s="1">
        <v>87</v>
      </c>
      <c r="B88" s="1" t="s">
        <v>295</v>
      </c>
      <c r="C88" s="1">
        <v>326</v>
      </c>
      <c r="D88" s="1">
        <v>2</v>
      </c>
      <c r="E88" s="1" t="s">
        <v>296</v>
      </c>
      <c r="F88" s="1" t="s">
        <v>297</v>
      </c>
      <c r="G88" s="1" t="s">
        <v>34</v>
      </c>
      <c r="H88" s="1" t="s">
        <v>35</v>
      </c>
      <c r="I88" s="1" t="s">
        <v>574</v>
      </c>
      <c r="J88" s="1" t="s">
        <v>36</v>
      </c>
      <c r="K88" s="1" t="s">
        <v>298</v>
      </c>
      <c r="L88" s="1" t="s">
        <v>292</v>
      </c>
      <c r="M88" s="1" t="s">
        <v>118</v>
      </c>
      <c r="N88" s="1" t="s">
        <v>604</v>
      </c>
      <c r="O88" s="1" t="s">
        <v>517</v>
      </c>
      <c r="P88" s="2">
        <v>1.2767528494817342</v>
      </c>
      <c r="Q88" s="2">
        <v>1.3105792963149863</v>
      </c>
      <c r="R88" s="2">
        <v>1.1596903294365717</v>
      </c>
      <c r="S88" s="1">
        <f t="shared" si="4"/>
        <v>1.2490074917444307</v>
      </c>
      <c r="T88" s="1">
        <f t="shared" si="3"/>
        <v>7.9178429754492047E-2</v>
      </c>
      <c r="U88" s="1">
        <f>_xlfn.T.TEST(P88:R88,P89:R89,2,3)</f>
        <v>2.519606619930107E-5</v>
      </c>
    </row>
    <row r="89" spans="1:21" x14ac:dyDescent="0.3">
      <c r="A89" s="1">
        <v>88</v>
      </c>
      <c r="B89" s="1" t="s">
        <v>299</v>
      </c>
      <c r="C89" s="1">
        <v>326</v>
      </c>
      <c r="D89" s="1">
        <v>2</v>
      </c>
      <c r="E89" s="1" t="s">
        <v>296</v>
      </c>
      <c r="F89" s="1" t="s">
        <v>297</v>
      </c>
      <c r="G89" s="1" t="s">
        <v>34</v>
      </c>
      <c r="H89" s="1" t="s">
        <v>35</v>
      </c>
      <c r="I89" s="1" t="s">
        <v>574</v>
      </c>
      <c r="J89" s="1" t="s">
        <v>36</v>
      </c>
      <c r="K89" s="1" t="s">
        <v>300</v>
      </c>
      <c r="L89" s="1" t="s">
        <v>292</v>
      </c>
      <c r="M89" s="1" t="s">
        <v>118</v>
      </c>
      <c r="N89" s="1" t="s">
        <v>604</v>
      </c>
      <c r="O89" s="1" t="s">
        <v>518</v>
      </c>
      <c r="P89" s="2">
        <v>2.6743687524664961</v>
      </c>
      <c r="Q89" s="2">
        <v>2.7538329188467152</v>
      </c>
      <c r="R89" s="2">
        <v>2.6316625246837058</v>
      </c>
      <c r="S89" s="1">
        <f t="shared" si="4"/>
        <v>2.6866213986656384</v>
      </c>
      <c r="T89" s="1">
        <f t="shared" si="3"/>
        <v>6.1999974247150313E-2</v>
      </c>
      <c r="U89" s="1" t="s">
        <v>561</v>
      </c>
    </row>
    <row r="90" spans="1:21" x14ac:dyDescent="0.3">
      <c r="A90" s="1">
        <v>89</v>
      </c>
      <c r="B90" s="1" t="s">
        <v>301</v>
      </c>
      <c r="C90" s="1">
        <v>301</v>
      </c>
      <c r="D90" s="1">
        <v>1</v>
      </c>
      <c r="E90" s="1" t="s">
        <v>302</v>
      </c>
      <c r="F90" s="1">
        <v>116674322</v>
      </c>
      <c r="G90" s="1" t="s">
        <v>15</v>
      </c>
      <c r="H90" s="1" t="s">
        <v>72</v>
      </c>
      <c r="I90" s="1">
        <v>8.7999999999999995E-2</v>
      </c>
      <c r="J90" s="1" t="s">
        <v>36</v>
      </c>
      <c r="K90" s="1" t="s">
        <v>303</v>
      </c>
      <c r="L90" s="1" t="s">
        <v>304</v>
      </c>
      <c r="M90" s="1" t="s">
        <v>19</v>
      </c>
      <c r="N90" s="1" t="s">
        <v>604</v>
      </c>
      <c r="O90" s="1" t="s">
        <v>519</v>
      </c>
      <c r="P90" s="2">
        <v>3.291201465356338</v>
      </c>
      <c r="Q90" s="2">
        <v>3.4770405818354129</v>
      </c>
      <c r="R90" s="2">
        <v>3.4042844740281497</v>
      </c>
      <c r="S90" s="1">
        <f t="shared" si="4"/>
        <v>3.390842173739967</v>
      </c>
      <c r="T90" s="1">
        <f t="shared" si="3"/>
        <v>9.3645960303736842E-2</v>
      </c>
      <c r="U90" s="1">
        <f>_xlfn.T.TEST(P90:R90,P91:R91,2,3)</f>
        <v>2.0073386343299972E-5</v>
      </c>
    </row>
    <row r="91" spans="1:21" x14ac:dyDescent="0.3">
      <c r="A91" s="1">
        <v>90</v>
      </c>
      <c r="B91" s="1" t="s">
        <v>305</v>
      </c>
      <c r="C91" s="1">
        <v>301</v>
      </c>
      <c r="D91" s="1">
        <v>1</v>
      </c>
      <c r="E91" s="1" t="s">
        <v>302</v>
      </c>
      <c r="F91" s="1">
        <v>116674322</v>
      </c>
      <c r="G91" s="1" t="s">
        <v>15</v>
      </c>
      <c r="H91" s="1" t="s">
        <v>72</v>
      </c>
      <c r="I91" s="1">
        <v>8.7999999999999995E-2</v>
      </c>
      <c r="J91" s="1" t="s">
        <v>36</v>
      </c>
      <c r="K91" s="1" t="s">
        <v>306</v>
      </c>
      <c r="L91" s="1" t="s">
        <v>304</v>
      </c>
      <c r="M91" s="1" t="s">
        <v>19</v>
      </c>
      <c r="N91" s="1" t="s">
        <v>604</v>
      </c>
      <c r="O91" s="1" t="s">
        <v>520</v>
      </c>
      <c r="P91" s="2">
        <v>5.2560043858844905</v>
      </c>
      <c r="Q91" s="2">
        <v>5.0807896694567356</v>
      </c>
      <c r="R91" s="2">
        <v>5.1237719519835458</v>
      </c>
      <c r="S91" s="1">
        <f t="shared" si="4"/>
        <v>5.1535220024415906</v>
      </c>
      <c r="T91" s="1">
        <f t="shared" si="3"/>
        <v>9.1317294856488151E-2</v>
      </c>
      <c r="U91" s="1" t="s">
        <v>561</v>
      </c>
    </row>
    <row r="92" spans="1:21" x14ac:dyDescent="0.3">
      <c r="A92" s="1">
        <v>91</v>
      </c>
      <c r="B92" s="1" t="s">
        <v>307</v>
      </c>
      <c r="C92" s="1">
        <v>301</v>
      </c>
      <c r="D92" s="1">
        <v>1</v>
      </c>
      <c r="E92" s="1" t="s">
        <v>308</v>
      </c>
      <c r="F92" s="1">
        <v>116695595</v>
      </c>
      <c r="G92" s="1" t="s">
        <v>24</v>
      </c>
      <c r="H92" s="1" t="s">
        <v>15</v>
      </c>
      <c r="I92" s="1">
        <v>0.13</v>
      </c>
      <c r="J92" s="1" t="s">
        <v>36</v>
      </c>
      <c r="K92" s="1" t="s">
        <v>309</v>
      </c>
      <c r="L92" s="1" t="s">
        <v>310</v>
      </c>
      <c r="M92" s="1" t="s">
        <v>147</v>
      </c>
      <c r="N92" s="1" t="s">
        <v>604</v>
      </c>
      <c r="O92" s="1" t="s">
        <v>521</v>
      </c>
      <c r="P92" s="2">
        <v>3.8879207598665455</v>
      </c>
      <c r="Q92" s="2">
        <v>3.9658277232084167</v>
      </c>
      <c r="R92" s="2">
        <v>4.0582797902334864</v>
      </c>
      <c r="S92" s="1">
        <f t="shared" si="4"/>
        <v>3.9706760911028165</v>
      </c>
      <c r="T92" s="1">
        <f t="shared" si="3"/>
        <v>8.5282939737796659E-2</v>
      </c>
      <c r="U92" s="1">
        <f>_xlfn.T.TEST(P92:R92,P93:R93,2,3)</f>
        <v>3.7205246275893471E-5</v>
      </c>
    </row>
    <row r="93" spans="1:21" x14ac:dyDescent="0.3">
      <c r="A93" s="1">
        <v>92</v>
      </c>
      <c r="B93" s="1" t="s">
        <v>311</v>
      </c>
      <c r="C93" s="1">
        <v>301</v>
      </c>
      <c r="D93" s="1">
        <v>1</v>
      </c>
      <c r="E93" s="1" t="s">
        <v>308</v>
      </c>
      <c r="F93" s="1">
        <v>116695595</v>
      </c>
      <c r="G93" s="1" t="s">
        <v>24</v>
      </c>
      <c r="H93" s="1" t="s">
        <v>15</v>
      </c>
      <c r="I93" s="1">
        <v>0.13</v>
      </c>
      <c r="J93" s="1" t="s">
        <v>36</v>
      </c>
      <c r="K93" s="1" t="s">
        <v>312</v>
      </c>
      <c r="L93" s="1" t="s">
        <v>310</v>
      </c>
      <c r="M93" s="1" t="s">
        <v>147</v>
      </c>
      <c r="N93" s="1" t="s">
        <v>604</v>
      </c>
      <c r="O93" s="1" t="s">
        <v>522</v>
      </c>
      <c r="P93" s="2">
        <v>7.1955284998732427</v>
      </c>
      <c r="Q93" s="2">
        <v>7.1393242358825075</v>
      </c>
      <c r="R93" s="2">
        <v>6.9204932532773711</v>
      </c>
      <c r="S93" s="1">
        <f t="shared" si="4"/>
        <v>7.0851153296777065</v>
      </c>
      <c r="T93" s="1">
        <f t="shared" si="3"/>
        <v>0.14531018839521756</v>
      </c>
      <c r="U93" s="1" t="s">
        <v>561</v>
      </c>
    </row>
    <row r="94" spans="1:21" x14ac:dyDescent="0.3">
      <c r="A94" s="1">
        <v>93</v>
      </c>
      <c r="B94" s="1" t="s">
        <v>313</v>
      </c>
      <c r="C94" s="1">
        <v>301</v>
      </c>
      <c r="D94" s="1">
        <v>1</v>
      </c>
      <c r="E94" s="1" t="s">
        <v>314</v>
      </c>
      <c r="F94" s="1">
        <v>117889505</v>
      </c>
      <c r="G94" s="1" t="s">
        <v>72</v>
      </c>
      <c r="H94" s="1" t="s">
        <v>14</v>
      </c>
      <c r="I94" s="1">
        <v>0.26900000000000002</v>
      </c>
      <c r="J94" s="1" t="s">
        <v>16</v>
      </c>
      <c r="K94" s="1" t="s">
        <v>315</v>
      </c>
      <c r="L94" s="1" t="s">
        <v>316</v>
      </c>
      <c r="M94" s="1" t="s">
        <v>147</v>
      </c>
      <c r="N94" s="1" t="s">
        <v>605</v>
      </c>
      <c r="O94" s="1" t="s">
        <v>523</v>
      </c>
      <c r="P94" s="2">
        <v>1.9348992967612444</v>
      </c>
      <c r="Q94" s="2">
        <v>1.9361531124514593</v>
      </c>
      <c r="R94" s="2">
        <v>1.8639239418741347</v>
      </c>
      <c r="S94" s="1">
        <f t="shared" si="4"/>
        <v>1.9116587836956127</v>
      </c>
      <c r="T94" s="1">
        <f t="shared" si="3"/>
        <v>4.13443388656465E-2</v>
      </c>
      <c r="U94" s="1">
        <f>_xlfn.T.TEST(P94:R94,P95:R95,2,3)</f>
        <v>4.8014687472153674E-3</v>
      </c>
    </row>
    <row r="95" spans="1:21" x14ac:dyDescent="0.3">
      <c r="A95" s="1">
        <v>94</v>
      </c>
      <c r="B95" s="1" t="s">
        <v>317</v>
      </c>
      <c r="C95" s="1">
        <v>301</v>
      </c>
      <c r="D95" s="1">
        <v>1</v>
      </c>
      <c r="E95" s="1" t="s">
        <v>314</v>
      </c>
      <c r="F95" s="1">
        <v>117889505</v>
      </c>
      <c r="G95" s="1" t="s">
        <v>72</v>
      </c>
      <c r="H95" s="1" t="s">
        <v>14</v>
      </c>
      <c r="I95" s="1">
        <v>0.26900000000000002</v>
      </c>
      <c r="J95" s="1" t="s">
        <v>16</v>
      </c>
      <c r="K95" s="1" t="s">
        <v>318</v>
      </c>
      <c r="L95" s="1" t="s">
        <v>316</v>
      </c>
      <c r="M95" s="1" t="s">
        <v>147</v>
      </c>
      <c r="N95" s="1" t="s">
        <v>605</v>
      </c>
      <c r="O95" s="1" t="s">
        <v>524</v>
      </c>
      <c r="P95" s="2">
        <v>1.572831942256673</v>
      </c>
      <c r="Q95" s="2">
        <v>1.5600279724653956</v>
      </c>
      <c r="R95" s="2">
        <v>1.4288732363051855</v>
      </c>
      <c r="S95" s="1">
        <f t="shared" si="4"/>
        <v>1.5205777170090846</v>
      </c>
      <c r="T95" s="1">
        <f t="shared" si="3"/>
        <v>7.967602679904949E-2</v>
      </c>
      <c r="U95" s="1" t="s">
        <v>561</v>
      </c>
    </row>
    <row r="96" spans="1:21" x14ac:dyDescent="0.3">
      <c r="A96" s="1">
        <v>95</v>
      </c>
      <c r="B96" s="1" t="s">
        <v>319</v>
      </c>
      <c r="C96" s="1">
        <v>301</v>
      </c>
      <c r="D96" s="1">
        <v>1</v>
      </c>
      <c r="E96" s="1" t="s">
        <v>320</v>
      </c>
      <c r="F96" s="1">
        <v>117890385</v>
      </c>
      <c r="G96" s="1" t="s">
        <v>15</v>
      </c>
      <c r="H96" s="1" t="s">
        <v>24</v>
      </c>
      <c r="I96" s="1">
        <v>0.216</v>
      </c>
      <c r="J96" s="1" t="s">
        <v>16</v>
      </c>
      <c r="K96" s="1" t="s">
        <v>321</v>
      </c>
      <c r="L96" s="1" t="s">
        <v>322</v>
      </c>
      <c r="M96" s="1" t="s">
        <v>323</v>
      </c>
      <c r="N96" s="1" t="s">
        <v>605</v>
      </c>
      <c r="O96" s="1" t="s">
        <v>525</v>
      </c>
      <c r="P96" s="2">
        <v>5.78719892963993E-2</v>
      </c>
      <c r="Q96" s="2">
        <v>5.5011285488653083E-2</v>
      </c>
      <c r="R96" s="2">
        <v>5.6696897434712047E-2</v>
      </c>
      <c r="S96" s="1">
        <f t="shared" si="4"/>
        <v>5.6526724073254812E-2</v>
      </c>
      <c r="T96" s="1">
        <f t="shared" si="3"/>
        <v>1.4379241282577002E-3</v>
      </c>
      <c r="U96" s="1">
        <f>_xlfn.T.TEST(P96:R96,P97:R97,2,3)</f>
        <v>1.069489188824127E-3</v>
      </c>
    </row>
    <row r="97" spans="1:21" x14ac:dyDescent="0.3">
      <c r="A97" s="1">
        <v>96</v>
      </c>
      <c r="B97" s="1" t="s">
        <v>324</v>
      </c>
      <c r="C97" s="1">
        <v>301</v>
      </c>
      <c r="D97" s="1">
        <v>1</v>
      </c>
      <c r="E97" s="1" t="s">
        <v>320</v>
      </c>
      <c r="F97" s="1">
        <v>117890385</v>
      </c>
      <c r="G97" s="1" t="s">
        <v>15</v>
      </c>
      <c r="H97" s="1" t="s">
        <v>24</v>
      </c>
      <c r="I97" s="1">
        <v>0.216</v>
      </c>
      <c r="J97" s="1" t="s">
        <v>16</v>
      </c>
      <c r="K97" s="1" t="s">
        <v>325</v>
      </c>
      <c r="L97" s="1" t="s">
        <v>322</v>
      </c>
      <c r="M97" s="1" t="s">
        <v>323</v>
      </c>
      <c r="N97" s="1" t="s">
        <v>605</v>
      </c>
      <c r="O97" s="1" t="s">
        <v>526</v>
      </c>
      <c r="P97" s="2">
        <v>0.7633195398424597</v>
      </c>
      <c r="Q97" s="2">
        <v>0.84750751579120043</v>
      </c>
      <c r="R97" s="2">
        <v>0.82044104615008218</v>
      </c>
      <c r="S97" s="1">
        <f t="shared" si="4"/>
        <v>0.81042270059458088</v>
      </c>
      <c r="T97" s="1">
        <f t="shared" si="3"/>
        <v>4.297882338243466E-2</v>
      </c>
      <c r="U97" s="1" t="s">
        <v>561</v>
      </c>
    </row>
    <row r="98" spans="1:21" x14ac:dyDescent="0.3">
      <c r="A98" s="1">
        <v>97</v>
      </c>
      <c r="B98" s="1" t="s">
        <v>326</v>
      </c>
      <c r="C98" s="1">
        <v>301</v>
      </c>
      <c r="D98" s="1">
        <v>1</v>
      </c>
      <c r="E98" s="1" t="s">
        <v>327</v>
      </c>
      <c r="F98" s="1">
        <v>117897147</v>
      </c>
      <c r="G98" s="1" t="s">
        <v>14</v>
      </c>
      <c r="H98" s="1" t="s">
        <v>72</v>
      </c>
      <c r="I98" s="1">
        <v>0.113</v>
      </c>
      <c r="J98" s="1" t="s">
        <v>16</v>
      </c>
      <c r="K98" s="1" t="s">
        <v>328</v>
      </c>
      <c r="L98" s="1" t="s">
        <v>329</v>
      </c>
      <c r="M98" s="1" t="s">
        <v>28</v>
      </c>
      <c r="N98" s="1" t="s">
        <v>605</v>
      </c>
      <c r="O98" s="1" t="s">
        <v>527</v>
      </c>
      <c r="P98" s="2">
        <v>0.38675374859798667</v>
      </c>
      <c r="Q98" s="2">
        <v>0.40929556772324888</v>
      </c>
      <c r="R98" s="2">
        <v>0.43165731797842405</v>
      </c>
      <c r="S98" s="1">
        <f t="shared" si="4"/>
        <v>0.40923554476655322</v>
      </c>
      <c r="T98" s="1">
        <f t="shared" si="3"/>
        <v>2.2451844865009118E-2</v>
      </c>
      <c r="U98" s="1">
        <f>_xlfn.T.TEST(P98:R98,P99:R99,2,3)</f>
        <v>4.124469369615595E-6</v>
      </c>
    </row>
    <row r="99" spans="1:21" x14ac:dyDescent="0.3">
      <c r="A99" s="1">
        <v>98</v>
      </c>
      <c r="B99" s="1" t="s">
        <v>330</v>
      </c>
      <c r="C99" s="1">
        <v>301</v>
      </c>
      <c r="D99" s="1">
        <v>1</v>
      </c>
      <c r="E99" s="1" t="s">
        <v>327</v>
      </c>
      <c r="F99" s="1">
        <v>117897147</v>
      </c>
      <c r="G99" s="1" t="s">
        <v>14</v>
      </c>
      <c r="H99" s="1" t="s">
        <v>72</v>
      </c>
      <c r="I99" s="1">
        <v>0.113</v>
      </c>
      <c r="J99" s="1" t="s">
        <v>16</v>
      </c>
      <c r="K99" s="1" t="s">
        <v>331</v>
      </c>
      <c r="L99" s="1" t="s">
        <v>329</v>
      </c>
      <c r="M99" s="1" t="s">
        <v>28</v>
      </c>
      <c r="N99" s="1" t="s">
        <v>605</v>
      </c>
      <c r="O99" s="1" t="s">
        <v>528</v>
      </c>
      <c r="P99" s="2">
        <v>1.1658125714530712</v>
      </c>
      <c r="Q99" s="2">
        <v>1.1813753894773207</v>
      </c>
      <c r="R99" s="2">
        <v>1.1294375200229529</v>
      </c>
      <c r="S99" s="1">
        <f t="shared" si="4"/>
        <v>1.1588751603177816</v>
      </c>
      <c r="T99" s="1">
        <f t="shared" si="3"/>
        <v>2.6654855576606788E-2</v>
      </c>
      <c r="U99" s="1" t="s">
        <v>561</v>
      </c>
    </row>
    <row r="100" spans="1:21" x14ac:dyDescent="0.3">
      <c r="A100" s="1">
        <v>99</v>
      </c>
      <c r="B100" s="1" t="s">
        <v>332</v>
      </c>
      <c r="C100" s="1">
        <v>301</v>
      </c>
      <c r="D100" s="1">
        <v>1</v>
      </c>
      <c r="E100" s="1" t="s">
        <v>333</v>
      </c>
      <c r="F100" s="1">
        <v>23120140</v>
      </c>
      <c r="G100" s="1" t="s">
        <v>14</v>
      </c>
      <c r="H100" s="1" t="s">
        <v>72</v>
      </c>
      <c r="I100" s="1">
        <v>1</v>
      </c>
      <c r="J100" s="1" t="s">
        <v>36</v>
      </c>
      <c r="K100" s="1" t="s">
        <v>334</v>
      </c>
      <c r="L100" s="1" t="s">
        <v>335</v>
      </c>
      <c r="M100" s="1" t="s">
        <v>47</v>
      </c>
      <c r="N100" s="1" t="s">
        <v>606</v>
      </c>
      <c r="O100" s="1" t="s">
        <v>529</v>
      </c>
      <c r="P100" s="2">
        <v>3.0227522432506539</v>
      </c>
      <c r="Q100" s="2">
        <v>3.2657905063423422</v>
      </c>
      <c r="R100" s="2">
        <v>3.2397915058177285</v>
      </c>
      <c r="S100" s="1">
        <f t="shared" si="4"/>
        <v>3.1761114184702417</v>
      </c>
      <c r="T100" s="1">
        <f t="shared" si="3"/>
        <v>0.13344760947687989</v>
      </c>
      <c r="U100" s="1">
        <f>_xlfn.T.TEST(P100:R100,P101:R101,2,3)</f>
        <v>1.8265724515816385E-3</v>
      </c>
    </row>
    <row r="101" spans="1:21" x14ac:dyDescent="0.3">
      <c r="A101" s="1">
        <v>100</v>
      </c>
      <c r="B101" s="1" t="s">
        <v>336</v>
      </c>
      <c r="C101" s="1">
        <v>301</v>
      </c>
      <c r="D101" s="1">
        <v>1</v>
      </c>
      <c r="E101" s="1" t="s">
        <v>333</v>
      </c>
      <c r="F101" s="1">
        <v>23120140</v>
      </c>
      <c r="G101" s="1" t="s">
        <v>14</v>
      </c>
      <c r="H101" s="1" t="s">
        <v>72</v>
      </c>
      <c r="I101" s="1">
        <v>1</v>
      </c>
      <c r="J101" s="1" t="s">
        <v>36</v>
      </c>
      <c r="K101" s="1" t="s">
        <v>337</v>
      </c>
      <c r="L101" s="1" t="s">
        <v>335</v>
      </c>
      <c r="M101" s="1" t="s">
        <v>47</v>
      </c>
      <c r="N101" s="1" t="s">
        <v>606</v>
      </c>
      <c r="O101" s="1" t="s">
        <v>530</v>
      </c>
      <c r="P101" s="2">
        <v>1.409410499578736</v>
      </c>
      <c r="Q101" s="2">
        <v>1.4144124279960966</v>
      </c>
      <c r="R101" s="2">
        <v>1.3980642106782744</v>
      </c>
      <c r="S101" s="1">
        <f t="shared" si="4"/>
        <v>1.4072957127510357</v>
      </c>
      <c r="T101" s="1">
        <f t="shared" si="3"/>
        <v>8.3767711478019199E-3</v>
      </c>
      <c r="U101" s="1" t="s">
        <v>561</v>
      </c>
    </row>
    <row r="102" spans="1:21" x14ac:dyDescent="0.3">
      <c r="A102" s="1">
        <v>101</v>
      </c>
      <c r="B102" s="1" t="s">
        <v>338</v>
      </c>
      <c r="C102" s="1">
        <v>301</v>
      </c>
      <c r="D102" s="1">
        <v>1</v>
      </c>
      <c r="E102" s="1" t="s">
        <v>339</v>
      </c>
      <c r="F102" s="1">
        <v>67547980</v>
      </c>
      <c r="G102" s="1" t="s">
        <v>72</v>
      </c>
      <c r="H102" s="1" t="s">
        <v>14</v>
      </c>
      <c r="I102" s="1">
        <v>0.36699999999999999</v>
      </c>
      <c r="J102" s="1" t="s">
        <v>36</v>
      </c>
      <c r="K102" s="1" t="s">
        <v>340</v>
      </c>
      <c r="L102" s="1" t="s">
        <v>341</v>
      </c>
      <c r="M102" s="1" t="s">
        <v>118</v>
      </c>
      <c r="N102" s="1" t="s">
        <v>607</v>
      </c>
      <c r="O102" s="1" t="s">
        <v>531</v>
      </c>
      <c r="P102" s="2">
        <v>1.2419238501637593</v>
      </c>
      <c r="Q102" s="2">
        <v>1.2387844440533837</v>
      </c>
      <c r="R102" s="2">
        <v>1.302892239112251</v>
      </c>
      <c r="S102" s="1">
        <f t="shared" si="4"/>
        <v>1.2612001777764645</v>
      </c>
      <c r="T102" s="1">
        <f t="shared" si="3"/>
        <v>3.6140489087748869E-2</v>
      </c>
      <c r="U102" s="1">
        <f>_xlfn.T.TEST(P102:R102,P103:R103,2,3)</f>
        <v>1.8666455575374471E-3</v>
      </c>
    </row>
    <row r="103" spans="1:21" x14ac:dyDescent="0.3">
      <c r="A103" s="1">
        <v>102</v>
      </c>
      <c r="B103" s="1" t="s">
        <v>342</v>
      </c>
      <c r="C103" s="1">
        <v>301</v>
      </c>
      <c r="D103" s="1">
        <v>1</v>
      </c>
      <c r="E103" s="1" t="s">
        <v>339</v>
      </c>
      <c r="F103" s="1">
        <v>67547980</v>
      </c>
      <c r="G103" s="1" t="s">
        <v>72</v>
      </c>
      <c r="H103" s="1" t="s">
        <v>14</v>
      </c>
      <c r="I103" s="1">
        <v>0.36699999999999999</v>
      </c>
      <c r="J103" s="1" t="s">
        <v>36</v>
      </c>
      <c r="K103" s="1" t="s">
        <v>343</v>
      </c>
      <c r="L103" s="1" t="s">
        <v>341</v>
      </c>
      <c r="M103" s="1" t="s">
        <v>118</v>
      </c>
      <c r="N103" s="1" t="s">
        <v>607</v>
      </c>
      <c r="O103" s="1" t="s">
        <v>532</v>
      </c>
      <c r="P103" s="2">
        <v>2.049194169405772</v>
      </c>
      <c r="Q103" s="2">
        <v>2.2420265572784217</v>
      </c>
      <c r="R103" s="2">
        <v>2.0974916750820021</v>
      </c>
      <c r="S103" s="1">
        <f t="shared" si="4"/>
        <v>2.1295708005887319</v>
      </c>
      <c r="T103" s="1">
        <f t="shared" si="3"/>
        <v>0.10033885176303542</v>
      </c>
      <c r="U103" s="1" t="s">
        <v>561</v>
      </c>
    </row>
    <row r="104" spans="1:21" x14ac:dyDescent="0.3">
      <c r="A104" s="1">
        <v>103</v>
      </c>
      <c r="B104" s="1" t="s">
        <v>344</v>
      </c>
      <c r="C104" s="1">
        <v>301</v>
      </c>
      <c r="D104" s="1">
        <v>1</v>
      </c>
      <c r="E104" s="1" t="s">
        <v>345</v>
      </c>
      <c r="F104" s="1">
        <v>17724927</v>
      </c>
      <c r="G104" s="1" t="s">
        <v>15</v>
      </c>
      <c r="H104" s="1" t="s">
        <v>24</v>
      </c>
      <c r="I104" s="1">
        <v>0.13</v>
      </c>
      <c r="J104" s="1" t="s">
        <v>170</v>
      </c>
      <c r="K104" s="1" t="s">
        <v>346</v>
      </c>
      <c r="L104" s="1" t="s">
        <v>347</v>
      </c>
      <c r="M104" s="1" t="s">
        <v>75</v>
      </c>
      <c r="N104" s="1" t="s">
        <v>608</v>
      </c>
      <c r="O104" s="1" t="s">
        <v>533</v>
      </c>
      <c r="P104" s="2">
        <v>0.56478710186168701</v>
      </c>
      <c r="Q104" s="2">
        <v>0.56067363976865014</v>
      </c>
      <c r="R104" s="2">
        <v>0.57348233471115551</v>
      </c>
      <c r="S104" s="1">
        <f t="shared" si="4"/>
        <v>0.56631435878049752</v>
      </c>
      <c r="T104" s="1">
        <f t="shared" si="3"/>
        <v>6.5394993542764119E-3</v>
      </c>
      <c r="U104" s="1">
        <f>_xlfn.T.TEST(P104:R104,P105:R105,2,3)</f>
        <v>3.9537110861102408E-4</v>
      </c>
    </row>
    <row r="105" spans="1:21" x14ac:dyDescent="0.3">
      <c r="A105" s="1">
        <v>104</v>
      </c>
      <c r="B105" s="1" t="s">
        <v>348</v>
      </c>
      <c r="C105" s="1">
        <v>301</v>
      </c>
      <c r="D105" s="1">
        <v>1</v>
      </c>
      <c r="E105" s="1" t="s">
        <v>345</v>
      </c>
      <c r="F105" s="1">
        <v>17724927</v>
      </c>
      <c r="G105" s="1" t="s">
        <v>15</v>
      </c>
      <c r="H105" s="1" t="s">
        <v>24</v>
      </c>
      <c r="I105" s="1">
        <v>0.13</v>
      </c>
      <c r="J105" s="1" t="s">
        <v>170</v>
      </c>
      <c r="K105" s="1" t="s">
        <v>349</v>
      </c>
      <c r="L105" s="1" t="s">
        <v>347</v>
      </c>
      <c r="M105" s="1" t="s">
        <v>75</v>
      </c>
      <c r="N105" s="1" t="s">
        <v>608</v>
      </c>
      <c r="O105" s="1" t="s">
        <v>534</v>
      </c>
      <c r="P105" s="2">
        <v>3.694612593232339</v>
      </c>
      <c r="Q105" s="2">
        <v>3.8601474316351201</v>
      </c>
      <c r="R105" s="2">
        <v>3.9141906281781074</v>
      </c>
      <c r="S105" s="1">
        <f t="shared" si="4"/>
        <v>3.8229835510151893</v>
      </c>
      <c r="T105" s="1">
        <f t="shared" si="3"/>
        <v>0.11440932599535161</v>
      </c>
      <c r="U105" s="1" t="s">
        <v>561</v>
      </c>
    </row>
    <row r="106" spans="1:21" x14ac:dyDescent="0.3">
      <c r="A106" s="1">
        <v>105</v>
      </c>
      <c r="B106" s="1" t="s">
        <v>350</v>
      </c>
      <c r="C106" s="1">
        <v>301</v>
      </c>
      <c r="D106" s="1">
        <v>1</v>
      </c>
      <c r="E106" s="1" t="s">
        <v>351</v>
      </c>
      <c r="F106" s="1">
        <v>17725971</v>
      </c>
      <c r="G106" s="1" t="s">
        <v>24</v>
      </c>
      <c r="H106" s="1" t="s">
        <v>15</v>
      </c>
      <c r="I106" s="1">
        <v>0.188</v>
      </c>
      <c r="J106" s="1" t="s">
        <v>170</v>
      </c>
      <c r="K106" s="1" t="s">
        <v>352</v>
      </c>
      <c r="L106" s="1" t="s">
        <v>347</v>
      </c>
      <c r="M106" s="1" t="s">
        <v>75</v>
      </c>
      <c r="N106" s="1" t="s">
        <v>608</v>
      </c>
      <c r="O106" s="1" t="s">
        <v>535</v>
      </c>
      <c r="P106" s="2">
        <v>1.8382561679448188</v>
      </c>
      <c r="Q106" s="2">
        <v>1.8384380573825119</v>
      </c>
      <c r="R106" s="2">
        <v>1.8602088230616112</v>
      </c>
      <c r="S106" s="1">
        <f t="shared" si="4"/>
        <v>1.8456343494629806</v>
      </c>
      <c r="T106" s="1">
        <f t="shared" si="3"/>
        <v>1.26221920223775E-2</v>
      </c>
      <c r="U106" s="1">
        <f>_xlfn.T.TEST(P106:R106,P107:R107,2,3)</f>
        <v>8.4908301955093066E-2</v>
      </c>
    </row>
    <row r="107" spans="1:21" x14ac:dyDescent="0.3">
      <c r="A107" s="1">
        <v>106</v>
      </c>
      <c r="B107" s="1" t="s">
        <v>353</v>
      </c>
      <c r="C107" s="1">
        <v>301</v>
      </c>
      <c r="D107" s="1">
        <v>1</v>
      </c>
      <c r="E107" s="1" t="s">
        <v>351</v>
      </c>
      <c r="F107" s="1">
        <v>17725971</v>
      </c>
      <c r="G107" s="1" t="s">
        <v>24</v>
      </c>
      <c r="H107" s="1" t="s">
        <v>15</v>
      </c>
      <c r="I107" s="1">
        <v>0.188</v>
      </c>
      <c r="J107" s="1" t="s">
        <v>170</v>
      </c>
      <c r="K107" s="1" t="s">
        <v>354</v>
      </c>
      <c r="L107" s="1" t="s">
        <v>347</v>
      </c>
      <c r="M107" s="1" t="s">
        <v>75</v>
      </c>
      <c r="N107" s="1" t="s">
        <v>608</v>
      </c>
      <c r="O107" s="1" t="s">
        <v>536</v>
      </c>
      <c r="P107" s="2">
        <v>1.9064352515479468</v>
      </c>
      <c r="Q107" s="2">
        <v>1.8661635320332048</v>
      </c>
      <c r="R107" s="2">
        <v>1.9315339935849227</v>
      </c>
      <c r="S107" s="1">
        <f t="shared" si="4"/>
        <v>1.9013775923886913</v>
      </c>
      <c r="T107" s="1">
        <f t="shared" si="3"/>
        <v>3.297740511319161E-2</v>
      </c>
      <c r="U107" s="1" t="s">
        <v>561</v>
      </c>
    </row>
    <row r="108" spans="1:21" x14ac:dyDescent="0.3">
      <c r="A108" s="1">
        <v>107</v>
      </c>
      <c r="B108" s="1" t="s">
        <v>355</v>
      </c>
      <c r="C108" s="1">
        <v>524</v>
      </c>
      <c r="D108" s="1">
        <v>2</v>
      </c>
      <c r="E108" s="1" t="s">
        <v>356</v>
      </c>
      <c r="F108" s="1" t="s">
        <v>357</v>
      </c>
      <c r="G108" s="1" t="s">
        <v>358</v>
      </c>
      <c r="H108" s="1" t="s">
        <v>359</v>
      </c>
      <c r="I108" s="1" t="s">
        <v>575</v>
      </c>
      <c r="J108" s="1" t="s">
        <v>170</v>
      </c>
      <c r="K108" s="1" t="s">
        <v>360</v>
      </c>
      <c r="L108" s="1" t="s">
        <v>347</v>
      </c>
      <c r="M108" s="1" t="s">
        <v>75</v>
      </c>
      <c r="N108" s="1" t="s">
        <v>608</v>
      </c>
      <c r="O108" s="1" t="s">
        <v>537</v>
      </c>
      <c r="P108" s="2">
        <v>0.54291235657313097</v>
      </c>
      <c r="Q108" s="2">
        <v>0.62543391806898507</v>
      </c>
      <c r="R108" s="2">
        <v>0.5753276122251173</v>
      </c>
      <c r="S108" s="1">
        <f t="shared" si="4"/>
        <v>0.58122462895574445</v>
      </c>
      <c r="T108" s="1">
        <f t="shared" si="3"/>
        <v>4.1575631476496899E-2</v>
      </c>
      <c r="U108" s="1">
        <f>_xlfn.T.TEST(P108:R108,P109:R109,2,3)</f>
        <v>1.0560270893294874E-2</v>
      </c>
    </row>
    <row r="109" spans="1:21" x14ac:dyDescent="0.3">
      <c r="A109" s="1">
        <v>108</v>
      </c>
      <c r="B109" s="1" t="s">
        <v>361</v>
      </c>
      <c r="C109" s="1">
        <v>524</v>
      </c>
      <c r="D109" s="1">
        <v>2</v>
      </c>
      <c r="E109" s="1" t="s">
        <v>356</v>
      </c>
      <c r="F109" s="1" t="s">
        <v>357</v>
      </c>
      <c r="G109" s="1" t="s">
        <v>358</v>
      </c>
      <c r="H109" s="1" t="s">
        <v>359</v>
      </c>
      <c r="I109" s="1" t="s">
        <v>575</v>
      </c>
      <c r="J109" s="1" t="s">
        <v>170</v>
      </c>
      <c r="K109" s="1" t="s">
        <v>362</v>
      </c>
      <c r="L109" s="1" t="s">
        <v>347</v>
      </c>
      <c r="M109" s="1" t="s">
        <v>75</v>
      </c>
      <c r="N109" s="1" t="s">
        <v>608</v>
      </c>
      <c r="O109" s="1" t="s">
        <v>538</v>
      </c>
      <c r="P109" s="2">
        <v>2.9834483861022526E-2</v>
      </c>
      <c r="Q109" s="2">
        <v>0.11709513931510764</v>
      </c>
      <c r="R109" s="2">
        <v>0.24468785756042657</v>
      </c>
      <c r="S109" s="1">
        <f t="shared" si="4"/>
        <v>0.13053916024551893</v>
      </c>
      <c r="T109" s="1">
        <f t="shared" si="3"/>
        <v>0.10805576949699142</v>
      </c>
      <c r="U109" s="1" t="s">
        <v>561</v>
      </c>
    </row>
    <row r="110" spans="1:21" x14ac:dyDescent="0.3">
      <c r="A110" s="1">
        <v>109</v>
      </c>
      <c r="B110" s="1" t="s">
        <v>363</v>
      </c>
      <c r="C110" s="1">
        <v>301</v>
      </c>
      <c r="D110" s="1">
        <v>1</v>
      </c>
      <c r="E110" s="1" t="s">
        <v>364</v>
      </c>
      <c r="F110" s="1">
        <v>49014714</v>
      </c>
      <c r="G110" s="1" t="s">
        <v>24</v>
      </c>
      <c r="H110" s="1" t="s">
        <v>15</v>
      </c>
      <c r="I110" s="1">
        <v>0.93200000000000005</v>
      </c>
      <c r="J110" s="1" t="s">
        <v>170</v>
      </c>
      <c r="K110" s="1" t="s">
        <v>365</v>
      </c>
      <c r="L110" s="1" t="s">
        <v>366</v>
      </c>
      <c r="M110" s="1" t="s">
        <v>67</v>
      </c>
      <c r="N110" s="1" t="s">
        <v>609</v>
      </c>
      <c r="O110" s="1" t="s">
        <v>539</v>
      </c>
      <c r="P110" s="2">
        <v>0.54709234570545728</v>
      </c>
      <c r="Q110" s="2">
        <v>0.57079152707533476</v>
      </c>
      <c r="R110" s="2">
        <v>0.57475304295431884</v>
      </c>
      <c r="S110" s="1">
        <f t="shared" si="4"/>
        <v>0.56421230524503696</v>
      </c>
      <c r="T110" s="1">
        <f t="shared" si="3"/>
        <v>1.4958046763949318E-2</v>
      </c>
      <c r="U110" s="1">
        <f>_xlfn.T.TEST(P110:R110,P111:R111,2,3)</f>
        <v>0.13615197614175131</v>
      </c>
    </row>
    <row r="111" spans="1:21" x14ac:dyDescent="0.3">
      <c r="A111" s="1">
        <v>110</v>
      </c>
      <c r="B111" s="1" t="s">
        <v>367</v>
      </c>
      <c r="C111" s="1">
        <v>301</v>
      </c>
      <c r="D111" s="1">
        <v>1</v>
      </c>
      <c r="E111" s="1" t="s">
        <v>364</v>
      </c>
      <c r="F111" s="1">
        <v>49014714</v>
      </c>
      <c r="G111" s="1" t="s">
        <v>24</v>
      </c>
      <c r="H111" s="1" t="s">
        <v>15</v>
      </c>
      <c r="I111" s="1">
        <v>0.93200000000000005</v>
      </c>
      <c r="J111" s="1" t="s">
        <v>170</v>
      </c>
      <c r="K111" s="1" t="s">
        <v>368</v>
      </c>
      <c r="L111" s="1" t="s">
        <v>366</v>
      </c>
      <c r="M111" s="1" t="s">
        <v>67</v>
      </c>
      <c r="N111" s="1" t="s">
        <v>609</v>
      </c>
      <c r="O111" s="1" t="s">
        <v>540</v>
      </c>
      <c r="P111" s="2">
        <v>0.45250497298231646</v>
      </c>
      <c r="Q111" s="2">
        <v>0.54003632444392669</v>
      </c>
      <c r="R111" s="2">
        <v>0.51772109928154741</v>
      </c>
      <c r="S111" s="1">
        <f t="shared" si="4"/>
        <v>0.50342079890259683</v>
      </c>
      <c r="T111" s="1">
        <f t="shared" si="3"/>
        <v>4.5484154552658709E-2</v>
      </c>
      <c r="U111" s="1" t="s">
        <v>561</v>
      </c>
    </row>
    <row r="112" spans="1:21" x14ac:dyDescent="0.3">
      <c r="A112" s="1">
        <v>111</v>
      </c>
      <c r="B112" s="1" t="s">
        <v>369</v>
      </c>
      <c r="C112" s="1">
        <v>301</v>
      </c>
      <c r="D112" s="1">
        <v>1</v>
      </c>
      <c r="E112" s="1" t="s">
        <v>370</v>
      </c>
      <c r="F112" s="1">
        <v>63138516</v>
      </c>
      <c r="G112" s="1" t="s">
        <v>15</v>
      </c>
      <c r="H112" s="1" t="s">
        <v>24</v>
      </c>
      <c r="I112" s="1">
        <v>0.5</v>
      </c>
      <c r="J112" s="1" t="s">
        <v>170</v>
      </c>
      <c r="K112" s="1" t="s">
        <v>371</v>
      </c>
      <c r="L112" s="1" t="s">
        <v>372</v>
      </c>
      <c r="M112" s="1" t="s">
        <v>118</v>
      </c>
      <c r="N112" s="1" t="s">
        <v>610</v>
      </c>
      <c r="O112" s="1" t="s">
        <v>541</v>
      </c>
      <c r="P112" s="2">
        <v>0.69533781735873712</v>
      </c>
      <c r="Q112" s="2">
        <v>0.74906320028322804</v>
      </c>
      <c r="R112" s="2">
        <v>0.69442073188961395</v>
      </c>
      <c r="S112" s="1">
        <f t="shared" si="4"/>
        <v>0.712940583177193</v>
      </c>
      <c r="T112" s="1">
        <f t="shared" si="3"/>
        <v>3.1286464507536298E-2</v>
      </c>
      <c r="U112" s="1">
        <f>_xlfn.T.TEST(P112:R112,P113:R113,2,3)</f>
        <v>0.14580622167271581</v>
      </c>
    </row>
    <row r="113" spans="1:21" x14ac:dyDescent="0.3">
      <c r="A113" s="1">
        <v>112</v>
      </c>
      <c r="B113" s="1" t="s">
        <v>373</v>
      </c>
      <c r="C113" s="1">
        <v>301</v>
      </c>
      <c r="D113" s="1">
        <v>1</v>
      </c>
      <c r="E113" s="1" t="s">
        <v>370</v>
      </c>
      <c r="F113" s="1">
        <v>63138516</v>
      </c>
      <c r="G113" s="1" t="s">
        <v>15</v>
      </c>
      <c r="H113" s="1" t="s">
        <v>24</v>
      </c>
      <c r="I113" s="1">
        <v>0.5</v>
      </c>
      <c r="J113" s="1" t="s">
        <v>170</v>
      </c>
      <c r="K113" s="1" t="s">
        <v>374</v>
      </c>
      <c r="L113" s="1" t="s">
        <v>372</v>
      </c>
      <c r="M113" s="1" t="s">
        <v>118</v>
      </c>
      <c r="N113" s="1" t="s">
        <v>610</v>
      </c>
      <c r="O113" s="1" t="s">
        <v>542</v>
      </c>
      <c r="P113" s="2">
        <v>0.66526688444303506</v>
      </c>
      <c r="Q113" s="2">
        <v>0.69485847600504158</v>
      </c>
      <c r="R113" s="2">
        <v>0.65818496411233274</v>
      </c>
      <c r="S113" s="1">
        <f t="shared" si="4"/>
        <v>0.67277010818680305</v>
      </c>
      <c r="T113" s="1">
        <f t="shared" si="3"/>
        <v>1.945405853666396E-2</v>
      </c>
      <c r="U113" s="1" t="s">
        <v>561</v>
      </c>
    </row>
    <row r="114" spans="1:21" x14ac:dyDescent="0.3">
      <c r="A114" s="1">
        <v>113</v>
      </c>
      <c r="B114" s="1" t="s">
        <v>375</v>
      </c>
      <c r="C114" s="1">
        <v>301</v>
      </c>
      <c r="D114" s="1">
        <v>1</v>
      </c>
      <c r="E114" s="1" t="s">
        <v>376</v>
      </c>
      <c r="F114" s="1">
        <v>63143007</v>
      </c>
      <c r="G114" s="1" t="s">
        <v>15</v>
      </c>
      <c r="H114" s="1" t="s">
        <v>72</v>
      </c>
      <c r="I114" s="1">
        <v>0.33100000000000002</v>
      </c>
      <c r="J114" s="1" t="s">
        <v>170</v>
      </c>
      <c r="K114" s="1" t="s">
        <v>377</v>
      </c>
      <c r="L114" s="1" t="s">
        <v>378</v>
      </c>
      <c r="M114" s="1" t="s">
        <v>118</v>
      </c>
      <c r="N114" s="1" t="s">
        <v>610</v>
      </c>
      <c r="O114" s="1" t="s">
        <v>543</v>
      </c>
      <c r="P114" s="2">
        <v>1.0122040214907151</v>
      </c>
      <c r="Q114" s="2">
        <v>0.97435516798474808</v>
      </c>
      <c r="R114" s="2">
        <v>0.96735401003920707</v>
      </c>
      <c r="S114" s="1">
        <f t="shared" si="4"/>
        <v>0.98463773317155667</v>
      </c>
      <c r="T114" s="1">
        <f t="shared" si="3"/>
        <v>2.4128390785873543E-2</v>
      </c>
      <c r="U114" s="1">
        <f>_xlfn.T.TEST(P114:R114,P115:R115,2,3)</f>
        <v>7.6556812347573583E-2</v>
      </c>
    </row>
    <row r="115" spans="1:21" x14ac:dyDescent="0.3">
      <c r="A115" s="1">
        <v>114</v>
      </c>
      <c r="B115" s="1" t="s">
        <v>379</v>
      </c>
      <c r="C115" s="1">
        <v>301</v>
      </c>
      <c r="D115" s="1">
        <v>1</v>
      </c>
      <c r="E115" s="1" t="s">
        <v>376</v>
      </c>
      <c r="F115" s="1">
        <v>63143007</v>
      </c>
      <c r="G115" s="1" t="s">
        <v>15</v>
      </c>
      <c r="H115" s="1" t="s">
        <v>72</v>
      </c>
      <c r="I115" s="1">
        <v>0.33100000000000002</v>
      </c>
      <c r="J115" s="1" t="s">
        <v>170</v>
      </c>
      <c r="K115" s="1" t="s">
        <v>380</v>
      </c>
      <c r="L115" s="1" t="s">
        <v>378</v>
      </c>
      <c r="M115" s="1" t="s">
        <v>118</v>
      </c>
      <c r="N115" s="1" t="s">
        <v>610</v>
      </c>
      <c r="O115" s="1" t="s">
        <v>544</v>
      </c>
      <c r="P115" s="2">
        <v>0.95751700630712178</v>
      </c>
      <c r="Q115" s="2">
        <v>0.91384303344775619</v>
      </c>
      <c r="R115" s="2">
        <v>0.87874147783928713</v>
      </c>
      <c r="S115" s="1">
        <f t="shared" si="4"/>
        <v>0.91670050586472174</v>
      </c>
      <c r="T115" s="1">
        <f t="shared" si="3"/>
        <v>3.94654257902654E-2</v>
      </c>
      <c r="U115" s="1" t="s">
        <v>561</v>
      </c>
    </row>
    <row r="116" spans="1:21" x14ac:dyDescent="0.3">
      <c r="A116" s="1">
        <v>115</v>
      </c>
      <c r="B116" s="1" t="s">
        <v>381</v>
      </c>
      <c r="C116" s="1">
        <v>301</v>
      </c>
      <c r="D116" s="1">
        <v>1</v>
      </c>
      <c r="E116" s="1" t="s">
        <v>382</v>
      </c>
      <c r="F116" s="1">
        <v>77023047</v>
      </c>
      <c r="G116" s="1" t="s">
        <v>15</v>
      </c>
      <c r="H116" s="1" t="s">
        <v>24</v>
      </c>
      <c r="I116" s="1">
        <v>0.37</v>
      </c>
      <c r="J116" s="1" t="s">
        <v>170</v>
      </c>
      <c r="K116" s="1" t="s">
        <v>383</v>
      </c>
      <c r="L116" s="1" t="s">
        <v>384</v>
      </c>
      <c r="M116" s="1" t="s">
        <v>28</v>
      </c>
      <c r="N116" s="1" t="s">
        <v>611</v>
      </c>
      <c r="O116" s="1" t="s">
        <v>545</v>
      </c>
      <c r="P116" s="2">
        <v>0.97035992437844876</v>
      </c>
      <c r="Q116" s="2">
        <v>0.95664971294899748</v>
      </c>
      <c r="R116" s="2">
        <v>0.94898743602650537</v>
      </c>
      <c r="S116" s="1">
        <f t="shared" si="4"/>
        <v>0.95866569111798394</v>
      </c>
      <c r="T116" s="1">
        <f t="shared" si="3"/>
        <v>1.0827924111844396E-2</v>
      </c>
      <c r="U116" s="1">
        <f>_xlfn.T.TEST(P116:R116,P117:R117,2,3)</f>
        <v>4.3268568790047054E-3</v>
      </c>
    </row>
    <row r="117" spans="1:21" x14ac:dyDescent="0.3">
      <c r="A117" s="1">
        <v>116</v>
      </c>
      <c r="B117" s="1" t="s">
        <v>385</v>
      </c>
      <c r="C117" s="1">
        <v>301</v>
      </c>
      <c r="D117" s="1">
        <v>1</v>
      </c>
      <c r="E117" s="1" t="s">
        <v>382</v>
      </c>
      <c r="F117" s="1">
        <v>77023047</v>
      </c>
      <c r="G117" s="1" t="s">
        <v>15</v>
      </c>
      <c r="H117" s="1" t="s">
        <v>24</v>
      </c>
      <c r="I117" s="1">
        <v>0.37</v>
      </c>
      <c r="J117" s="1" t="s">
        <v>170</v>
      </c>
      <c r="K117" s="1" t="s">
        <v>386</v>
      </c>
      <c r="L117" s="1" t="s">
        <v>384</v>
      </c>
      <c r="M117" s="1" t="s">
        <v>28</v>
      </c>
      <c r="N117" s="1" t="s">
        <v>611</v>
      </c>
      <c r="O117" s="1" t="s">
        <v>546</v>
      </c>
      <c r="P117" s="2">
        <v>1.2131822432293731</v>
      </c>
      <c r="Q117" s="2">
        <v>1.2940264339930228</v>
      </c>
      <c r="R117" s="2">
        <v>1.2402001423210918</v>
      </c>
      <c r="S117" s="1">
        <f t="shared" si="4"/>
        <v>1.2491362731811624</v>
      </c>
      <c r="T117" s="1">
        <f t="shared" si="3"/>
        <v>4.1156246441075947E-2</v>
      </c>
      <c r="U117" s="1" t="s">
        <v>561</v>
      </c>
    </row>
    <row r="118" spans="1:21" x14ac:dyDescent="0.3">
      <c r="A118" s="1">
        <v>117</v>
      </c>
      <c r="B118" s="1" t="s">
        <v>387</v>
      </c>
      <c r="C118" s="1">
        <v>301</v>
      </c>
      <c r="D118" s="1">
        <v>1</v>
      </c>
      <c r="E118" s="1" t="s">
        <v>388</v>
      </c>
      <c r="F118" s="1">
        <v>17856139</v>
      </c>
      <c r="G118" s="1" t="s">
        <v>24</v>
      </c>
      <c r="H118" s="1" t="s">
        <v>14</v>
      </c>
      <c r="I118" s="1">
        <v>0.49099999999999999</v>
      </c>
      <c r="J118" s="1" t="s">
        <v>36</v>
      </c>
      <c r="K118" s="1" t="s">
        <v>389</v>
      </c>
      <c r="L118" s="1" t="s">
        <v>390</v>
      </c>
      <c r="M118" s="1" t="s">
        <v>118</v>
      </c>
      <c r="N118" s="1" t="s">
        <v>612</v>
      </c>
      <c r="O118" s="1" t="s">
        <v>547</v>
      </c>
      <c r="P118" s="2">
        <v>1.6403217881170713</v>
      </c>
      <c r="Q118" s="2">
        <v>1.5943223373412525</v>
      </c>
      <c r="R118" s="2">
        <v>1.5980009903553074</v>
      </c>
      <c r="S118" s="1">
        <f t="shared" si="4"/>
        <v>1.6108817052712106</v>
      </c>
      <c r="T118" s="1">
        <f t="shared" si="3"/>
        <v>2.5562120030971972E-2</v>
      </c>
      <c r="U118" s="1">
        <f>_xlfn.T.TEST(P118:R118,P119:R119,2,3)</f>
        <v>6.8019747422954742E-6</v>
      </c>
    </row>
    <row r="119" spans="1:21" x14ac:dyDescent="0.3">
      <c r="A119" s="1">
        <v>118</v>
      </c>
      <c r="B119" s="1" t="s">
        <v>391</v>
      </c>
      <c r="C119" s="1">
        <v>301</v>
      </c>
      <c r="D119" s="1">
        <v>1</v>
      </c>
      <c r="E119" s="1" t="s">
        <v>388</v>
      </c>
      <c r="F119" s="1">
        <v>17856139</v>
      </c>
      <c r="G119" s="1" t="s">
        <v>24</v>
      </c>
      <c r="H119" s="1" t="s">
        <v>14</v>
      </c>
      <c r="I119" s="1">
        <v>0.49099999999999999</v>
      </c>
      <c r="J119" s="1" t="s">
        <v>36</v>
      </c>
      <c r="K119" s="1" t="s">
        <v>392</v>
      </c>
      <c r="L119" s="1" t="s">
        <v>390</v>
      </c>
      <c r="M119" s="1" t="s">
        <v>118</v>
      </c>
      <c r="N119" s="1" t="s">
        <v>612</v>
      </c>
      <c r="O119" s="1" t="s">
        <v>548</v>
      </c>
      <c r="P119" s="2">
        <v>0.94228560314495835</v>
      </c>
      <c r="Q119" s="2">
        <v>0.9566107286289498</v>
      </c>
      <c r="R119" s="2">
        <v>0.91816059755002299</v>
      </c>
      <c r="S119" s="1">
        <f t="shared" si="4"/>
        <v>0.93901897644131038</v>
      </c>
      <c r="T119" s="1">
        <f t="shared" si="3"/>
        <v>1.943209413605242E-2</v>
      </c>
      <c r="U119" s="1" t="s">
        <v>561</v>
      </c>
    </row>
    <row r="120" spans="1:21" x14ac:dyDescent="0.3">
      <c r="A120" s="1">
        <v>119</v>
      </c>
      <c r="B120" s="1" t="s">
        <v>393</v>
      </c>
      <c r="C120" s="1">
        <v>301</v>
      </c>
      <c r="D120" s="1">
        <v>1</v>
      </c>
      <c r="E120" s="1" t="s">
        <v>394</v>
      </c>
      <c r="F120" s="1">
        <v>38404563</v>
      </c>
      <c r="G120" s="1" t="s">
        <v>24</v>
      </c>
      <c r="H120" s="1" t="s">
        <v>14</v>
      </c>
      <c r="I120" s="1">
        <v>0.98499999999999999</v>
      </c>
      <c r="J120" s="1" t="s">
        <v>36</v>
      </c>
      <c r="K120" s="1" t="s">
        <v>395</v>
      </c>
      <c r="L120" s="1" t="s">
        <v>396</v>
      </c>
      <c r="M120" s="1" t="s">
        <v>323</v>
      </c>
      <c r="N120" s="1" t="s">
        <v>613</v>
      </c>
      <c r="O120" s="1" t="s">
        <v>549</v>
      </c>
      <c r="P120" s="2">
        <v>0.75782627643993206</v>
      </c>
      <c r="Q120" s="2">
        <v>0.77406320521731664</v>
      </c>
      <c r="R120" s="2">
        <v>0.75063569597441171</v>
      </c>
      <c r="S120" s="1">
        <f t="shared" si="4"/>
        <v>0.76084172587722021</v>
      </c>
      <c r="T120" s="1">
        <f t="shared" si="3"/>
        <v>1.2001322794310206E-2</v>
      </c>
      <c r="U120" s="1">
        <f>_xlfn.T.TEST(P120:R120,P121:R121,2,3)</f>
        <v>1.2675526344728738E-2</v>
      </c>
    </row>
    <row r="121" spans="1:21" x14ac:dyDescent="0.3">
      <c r="A121" s="1">
        <v>120</v>
      </c>
      <c r="B121" s="1" t="s">
        <v>397</v>
      </c>
      <c r="C121" s="1">
        <v>301</v>
      </c>
      <c r="D121" s="1">
        <v>1</v>
      </c>
      <c r="E121" s="1" t="s">
        <v>394</v>
      </c>
      <c r="F121" s="1">
        <v>38404563</v>
      </c>
      <c r="G121" s="1" t="s">
        <v>24</v>
      </c>
      <c r="H121" s="1" t="s">
        <v>14</v>
      </c>
      <c r="I121" s="1">
        <v>0.98499999999999999</v>
      </c>
      <c r="J121" s="1" t="s">
        <v>36</v>
      </c>
      <c r="K121" s="1" t="s">
        <v>398</v>
      </c>
      <c r="L121" s="1" t="s">
        <v>396</v>
      </c>
      <c r="M121" s="1" t="s">
        <v>323</v>
      </c>
      <c r="N121" s="1" t="s">
        <v>613</v>
      </c>
      <c r="O121" s="1" t="s">
        <v>550</v>
      </c>
      <c r="P121" s="2">
        <v>1.0545695104006798</v>
      </c>
      <c r="Q121" s="2">
        <v>1.0791904026785164</v>
      </c>
      <c r="R121" s="2">
        <v>1.1917590514618204</v>
      </c>
      <c r="S121" s="1">
        <f t="shared" si="4"/>
        <v>1.1085063215136721</v>
      </c>
      <c r="T121" s="1">
        <f t="shared" si="3"/>
        <v>7.3142394457685583E-2</v>
      </c>
      <c r="U121" s="1" t="s">
        <v>561</v>
      </c>
    </row>
    <row r="122" spans="1:21" x14ac:dyDescent="0.3">
      <c r="A122" s="1">
        <v>121</v>
      </c>
      <c r="B122" s="1" t="s">
        <v>399</v>
      </c>
      <c r="C122" s="1">
        <v>301</v>
      </c>
      <c r="D122" s="1">
        <v>1</v>
      </c>
      <c r="E122" s="1" t="s">
        <v>400</v>
      </c>
      <c r="F122" s="1">
        <v>38435575</v>
      </c>
      <c r="G122" s="1" t="s">
        <v>24</v>
      </c>
      <c r="H122" s="1" t="s">
        <v>15</v>
      </c>
      <c r="I122" s="1">
        <v>1</v>
      </c>
      <c r="J122" s="1" t="s">
        <v>36</v>
      </c>
      <c r="K122" s="1" t="s">
        <v>401</v>
      </c>
      <c r="L122" s="1" t="s">
        <v>402</v>
      </c>
      <c r="M122" s="1" t="s">
        <v>39</v>
      </c>
      <c r="N122" s="1" t="s">
        <v>614</v>
      </c>
      <c r="O122" s="1" t="s">
        <v>551</v>
      </c>
      <c r="P122" s="2">
        <v>0.33816659867015569</v>
      </c>
      <c r="Q122" s="2">
        <v>0.33262417931412086</v>
      </c>
      <c r="R122" s="2">
        <v>0.30947979713044271</v>
      </c>
      <c r="S122" s="1">
        <f t="shared" si="4"/>
        <v>0.32675685837157309</v>
      </c>
      <c r="T122" s="1">
        <f t="shared" si="3"/>
        <v>1.5216840569805039E-2</v>
      </c>
      <c r="U122" s="1">
        <f>_xlfn.T.TEST(P122:R122,P123:R123,2,3)</f>
        <v>1.1089861519444102E-4</v>
      </c>
    </row>
    <row r="123" spans="1:21" x14ac:dyDescent="0.3">
      <c r="A123" s="1">
        <v>122</v>
      </c>
      <c r="B123" s="1" t="s">
        <v>403</v>
      </c>
      <c r="C123" s="1">
        <v>301</v>
      </c>
      <c r="D123" s="1">
        <v>1</v>
      </c>
      <c r="E123" s="1" t="s">
        <v>400</v>
      </c>
      <c r="F123" s="1">
        <v>38435575</v>
      </c>
      <c r="G123" s="1" t="s">
        <v>24</v>
      </c>
      <c r="H123" s="1" t="s">
        <v>15</v>
      </c>
      <c r="I123" s="1">
        <v>1</v>
      </c>
      <c r="J123" s="1" t="s">
        <v>36</v>
      </c>
      <c r="K123" s="1" t="s">
        <v>404</v>
      </c>
      <c r="L123" s="1" t="s">
        <v>402</v>
      </c>
      <c r="M123" s="1" t="s">
        <v>39</v>
      </c>
      <c r="N123" s="1" t="s">
        <v>614</v>
      </c>
      <c r="O123" s="1" t="s">
        <v>552</v>
      </c>
      <c r="P123" s="2">
        <v>0.62519180560143006</v>
      </c>
      <c r="Q123" s="2">
        <v>0.61026989592723291</v>
      </c>
      <c r="R123" s="2">
        <v>0.65469486834196933</v>
      </c>
      <c r="S123" s="1">
        <f t="shared" si="4"/>
        <v>0.63005218995687751</v>
      </c>
      <c r="T123" s="1">
        <f t="shared" si="3"/>
        <v>2.2607787277275304E-2</v>
      </c>
      <c r="U123" s="1" t="s">
        <v>561</v>
      </c>
    </row>
    <row r="124" spans="1:21" x14ac:dyDescent="0.3">
      <c r="A124" s="1">
        <v>123</v>
      </c>
      <c r="B124" s="1" t="s">
        <v>405</v>
      </c>
      <c r="C124" s="1">
        <v>301</v>
      </c>
      <c r="D124" s="1">
        <v>1</v>
      </c>
      <c r="E124" s="1" t="s">
        <v>406</v>
      </c>
      <c r="F124" s="1">
        <v>38472865</v>
      </c>
      <c r="G124" s="1" t="s">
        <v>15</v>
      </c>
      <c r="H124" s="1" t="s">
        <v>72</v>
      </c>
      <c r="I124" s="1">
        <v>6.0999999999999999E-2</v>
      </c>
      <c r="J124" s="1" t="s">
        <v>36</v>
      </c>
      <c r="K124" s="1" t="s">
        <v>407</v>
      </c>
      <c r="L124" s="1" t="s">
        <v>408</v>
      </c>
      <c r="M124" s="1" t="s">
        <v>67</v>
      </c>
      <c r="N124" s="1" t="s">
        <v>615</v>
      </c>
      <c r="O124" s="1" t="s">
        <v>553</v>
      </c>
      <c r="P124" s="2">
        <v>0.39644148974453314</v>
      </c>
      <c r="Q124" s="2">
        <v>0.38987977151747805</v>
      </c>
      <c r="R124" s="2">
        <v>0.39121406550042293</v>
      </c>
      <c r="S124" s="1">
        <f t="shared" si="4"/>
        <v>0.39251177558747807</v>
      </c>
      <c r="T124" s="1">
        <f t="shared" si="3"/>
        <v>3.4680073710057465E-3</v>
      </c>
      <c r="U124" s="1">
        <f>_xlfn.T.TEST(P124:R124,P125:R125,2,3)</f>
        <v>3.4344277811658979E-3</v>
      </c>
    </row>
    <row r="125" spans="1:21" x14ac:dyDescent="0.3">
      <c r="A125" s="1">
        <v>124</v>
      </c>
      <c r="B125" s="1" t="s">
        <v>409</v>
      </c>
      <c r="C125" s="1">
        <v>301</v>
      </c>
      <c r="D125" s="1">
        <v>1</v>
      </c>
      <c r="E125" s="1" t="s">
        <v>406</v>
      </c>
      <c r="F125" s="1">
        <v>38472865</v>
      </c>
      <c r="G125" s="1" t="s">
        <v>15</v>
      </c>
      <c r="H125" s="1" t="s">
        <v>72</v>
      </c>
      <c r="I125" s="1">
        <v>6.0999999999999999E-2</v>
      </c>
      <c r="J125" s="1" t="s">
        <v>36</v>
      </c>
      <c r="K125" s="1" t="s">
        <v>410</v>
      </c>
      <c r="L125" s="1" t="s">
        <v>408</v>
      </c>
      <c r="M125" s="1" t="s">
        <v>67</v>
      </c>
      <c r="N125" s="1" t="s">
        <v>615</v>
      </c>
      <c r="O125" s="1" t="s">
        <v>554</v>
      </c>
      <c r="P125" s="2">
        <v>0.63736850862077821</v>
      </c>
      <c r="Q125" s="2">
        <v>0.59201432068168813</v>
      </c>
      <c r="R125" s="2">
        <v>0.60136607186220181</v>
      </c>
      <c r="S125" s="1">
        <f t="shared" si="4"/>
        <v>0.61024963372155605</v>
      </c>
      <c r="T125" s="1">
        <f t="shared" si="3"/>
        <v>2.3946583146355262E-2</v>
      </c>
      <c r="U125" s="1" t="s">
        <v>561</v>
      </c>
    </row>
    <row r="126" spans="1:21" x14ac:dyDescent="0.3">
      <c r="A126" s="1">
        <v>125</v>
      </c>
      <c r="B126" s="1" t="s">
        <v>411</v>
      </c>
      <c r="C126" s="1">
        <v>503</v>
      </c>
      <c r="D126" s="1">
        <v>2</v>
      </c>
      <c r="E126" s="1" t="s">
        <v>412</v>
      </c>
      <c r="F126" s="1" t="s">
        <v>413</v>
      </c>
      <c r="G126" s="1" t="s">
        <v>359</v>
      </c>
      <c r="H126" s="1" t="s">
        <v>414</v>
      </c>
      <c r="I126" s="1" t="s">
        <v>576</v>
      </c>
      <c r="J126" s="1" t="s">
        <v>36</v>
      </c>
      <c r="K126" s="1" t="s">
        <v>415</v>
      </c>
      <c r="L126" s="1" t="s">
        <v>408</v>
      </c>
      <c r="M126" s="1" t="s">
        <v>67</v>
      </c>
      <c r="N126" s="1" t="s">
        <v>615</v>
      </c>
      <c r="O126" s="1" t="s">
        <v>555</v>
      </c>
      <c r="P126" s="2">
        <v>1.3465275501119811</v>
      </c>
      <c r="Q126" s="2">
        <v>1.2801301353914245</v>
      </c>
      <c r="R126" s="2">
        <v>1.2443894693678463</v>
      </c>
      <c r="S126" s="1">
        <f t="shared" si="4"/>
        <v>1.2903490516237508</v>
      </c>
      <c r="T126" s="1">
        <f t="shared" si="3"/>
        <v>5.1830170472865734E-2</v>
      </c>
      <c r="U126" s="1">
        <f>_xlfn.T.TEST(P126:R126,P127:R127,2,3)</f>
        <v>5.0088734060789331E-3</v>
      </c>
    </row>
    <row r="127" spans="1:21" x14ac:dyDescent="0.3">
      <c r="A127" s="1">
        <v>126</v>
      </c>
      <c r="B127" s="1" t="s">
        <v>416</v>
      </c>
      <c r="C127" s="1">
        <v>503</v>
      </c>
      <c r="D127" s="1">
        <v>2</v>
      </c>
      <c r="E127" s="1" t="s">
        <v>412</v>
      </c>
      <c r="F127" s="1" t="s">
        <v>413</v>
      </c>
      <c r="G127" s="1" t="s">
        <v>359</v>
      </c>
      <c r="H127" s="1" t="s">
        <v>414</v>
      </c>
      <c r="I127" s="1" t="s">
        <v>576</v>
      </c>
      <c r="J127" s="1" t="s">
        <v>36</v>
      </c>
      <c r="K127" s="1" t="s">
        <v>417</v>
      </c>
      <c r="L127" s="1" t="s">
        <v>408</v>
      </c>
      <c r="M127" s="1" t="s">
        <v>67</v>
      </c>
      <c r="N127" s="1" t="s">
        <v>615</v>
      </c>
      <c r="O127" s="1" t="s">
        <v>556</v>
      </c>
      <c r="P127" s="2">
        <v>1.1128028722948138</v>
      </c>
      <c r="Q127" s="2">
        <v>1.0588413545781992</v>
      </c>
      <c r="R127" s="2">
        <v>1.0236131255926291</v>
      </c>
      <c r="S127" s="1">
        <f t="shared" si="4"/>
        <v>1.0650857841552142</v>
      </c>
      <c r="T127" s="1">
        <f t="shared" si="3"/>
        <v>4.4921569482339885E-2</v>
      </c>
      <c r="U127" s="1" t="s">
        <v>561</v>
      </c>
    </row>
    <row r="128" spans="1:21" x14ac:dyDescent="0.3">
      <c r="A128" s="1">
        <v>127</v>
      </c>
      <c r="B128" s="1" t="s">
        <v>418</v>
      </c>
      <c r="C128" s="1">
        <v>301</v>
      </c>
      <c r="D128" s="1">
        <v>1</v>
      </c>
      <c r="E128" s="1" t="s">
        <v>419</v>
      </c>
      <c r="F128" s="1">
        <v>38477630</v>
      </c>
      <c r="G128" s="1" t="s">
        <v>24</v>
      </c>
      <c r="H128" s="1" t="s">
        <v>72</v>
      </c>
      <c r="I128" s="1">
        <v>0.20599999999999999</v>
      </c>
      <c r="J128" s="1" t="s">
        <v>36</v>
      </c>
      <c r="K128" s="1" t="s">
        <v>420</v>
      </c>
      <c r="L128" s="1" t="s">
        <v>408</v>
      </c>
      <c r="M128" s="1" t="s">
        <v>118</v>
      </c>
      <c r="N128" s="1" t="s">
        <v>615</v>
      </c>
      <c r="O128" s="1" t="s">
        <v>557</v>
      </c>
      <c r="P128" s="2">
        <v>1.1340168777669011</v>
      </c>
      <c r="Q128" s="2">
        <v>1.1001961025730971</v>
      </c>
      <c r="R128" s="2">
        <v>1.0651434150382604</v>
      </c>
      <c r="S128" s="1">
        <f t="shared" si="4"/>
        <v>1.0997854651260861</v>
      </c>
      <c r="T128" s="1">
        <f t="shared" si="3"/>
        <v>3.4438567542698847E-2</v>
      </c>
      <c r="U128" s="1">
        <f>_xlfn.T.TEST(P128:R128,P129:R129,2,3)</f>
        <v>0.55782119189954771</v>
      </c>
    </row>
    <row r="129" spans="1:21" x14ac:dyDescent="0.3">
      <c r="A129" s="1">
        <v>128</v>
      </c>
      <c r="B129" s="1" t="s">
        <v>421</v>
      </c>
      <c r="C129" s="1">
        <v>301</v>
      </c>
      <c r="D129" s="1">
        <v>1</v>
      </c>
      <c r="E129" s="1" t="s">
        <v>419</v>
      </c>
      <c r="F129" s="1">
        <v>38477630</v>
      </c>
      <c r="G129" s="1" t="s">
        <v>24</v>
      </c>
      <c r="H129" s="1" t="s">
        <v>72</v>
      </c>
      <c r="I129" s="1">
        <v>0.20599999999999999</v>
      </c>
      <c r="J129" s="1" t="s">
        <v>36</v>
      </c>
      <c r="K129" s="1" t="s">
        <v>422</v>
      </c>
      <c r="L129" s="1" t="s">
        <v>408</v>
      </c>
      <c r="M129" s="1" t="s">
        <v>118</v>
      </c>
      <c r="N129" s="1" t="s">
        <v>615</v>
      </c>
      <c r="O129" s="1" t="s">
        <v>558</v>
      </c>
      <c r="P129" s="2">
        <v>1.0734112397465421</v>
      </c>
      <c r="Q129" s="2">
        <v>1.1092573999556226</v>
      </c>
      <c r="R129" s="2">
        <v>1.071064027717203</v>
      </c>
      <c r="S129" s="1">
        <f t="shared" si="4"/>
        <v>1.0845775558064559</v>
      </c>
      <c r="T129" s="1">
        <f t="shared" si="3"/>
        <v>2.1405568936564996E-2</v>
      </c>
      <c r="U129" s="1" t="s">
        <v>561</v>
      </c>
    </row>
    <row r="130" spans="1:21" x14ac:dyDescent="0.3">
      <c r="A130" s="1">
        <v>129</v>
      </c>
      <c r="B130" s="1" t="s">
        <v>423</v>
      </c>
      <c r="C130" s="1">
        <v>301</v>
      </c>
      <c r="D130" s="1">
        <v>1</v>
      </c>
      <c r="E130" s="1" t="s">
        <v>424</v>
      </c>
      <c r="F130" s="1">
        <v>38478786</v>
      </c>
      <c r="G130" s="1" t="s">
        <v>72</v>
      </c>
      <c r="H130" s="1" t="s">
        <v>15</v>
      </c>
      <c r="I130" s="1">
        <v>0.30499999999999999</v>
      </c>
      <c r="J130" s="1" t="s">
        <v>36</v>
      </c>
      <c r="K130" s="1" t="s">
        <v>425</v>
      </c>
      <c r="L130" s="1" t="s">
        <v>408</v>
      </c>
      <c r="M130" s="1" t="s">
        <v>118</v>
      </c>
      <c r="N130" s="1" t="s">
        <v>615</v>
      </c>
      <c r="O130" s="1" t="s">
        <v>559</v>
      </c>
      <c r="P130" s="2">
        <v>0.54041025058301884</v>
      </c>
      <c r="Q130" s="2">
        <v>0.58447824621124433</v>
      </c>
      <c r="R130" s="2">
        <v>0.61073363081953225</v>
      </c>
      <c r="S130" s="1">
        <f t="shared" si="4"/>
        <v>0.57854070920459844</v>
      </c>
      <c r="T130" s="1">
        <f t="shared" si="3"/>
        <v>3.5535689260956765E-2</v>
      </c>
      <c r="U130" s="1">
        <f>_xlfn.T.TEST(P130:R130,P131:R131,2,3)</f>
        <v>7.496929224272939E-3</v>
      </c>
    </row>
    <row r="131" spans="1:21" x14ac:dyDescent="0.3">
      <c r="A131" s="1">
        <v>130</v>
      </c>
      <c r="B131" s="1" t="s">
        <v>426</v>
      </c>
      <c r="C131" s="1">
        <v>301</v>
      </c>
      <c r="D131" s="1">
        <v>1</v>
      </c>
      <c r="E131" s="1" t="s">
        <v>424</v>
      </c>
      <c r="F131" s="1">
        <v>38478786</v>
      </c>
      <c r="G131" s="1" t="s">
        <v>72</v>
      </c>
      <c r="H131" s="1" t="s">
        <v>15</v>
      </c>
      <c r="I131" s="1">
        <v>0.30499999999999999</v>
      </c>
      <c r="J131" s="1" t="s">
        <v>36</v>
      </c>
      <c r="K131" s="1" t="s">
        <v>427</v>
      </c>
      <c r="L131" s="1" t="s">
        <v>408</v>
      </c>
      <c r="M131" s="1" t="s">
        <v>118</v>
      </c>
      <c r="N131" s="1" t="s">
        <v>615</v>
      </c>
      <c r="O131" s="1" t="s">
        <v>560</v>
      </c>
      <c r="P131" s="2">
        <v>0.74375335716649105</v>
      </c>
      <c r="Q131" s="2">
        <v>0.70212736282229427</v>
      </c>
      <c r="R131" s="2">
        <v>0.70952730621596272</v>
      </c>
      <c r="S131" s="1">
        <f t="shared" si="4"/>
        <v>0.71846934206824942</v>
      </c>
      <c r="T131" s="1">
        <f t="shared" ref="T131" si="5">STDEV(P131:R131)</f>
        <v>2.2207000138998068E-2</v>
      </c>
      <c r="U131" s="1" t="s">
        <v>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0439-EFE7-4EAB-817C-5F9BC529148E}">
  <sheetPr>
    <tabColor theme="6" tint="0.39997558519241921"/>
  </sheetPr>
  <dimension ref="A1:U139"/>
  <sheetViews>
    <sheetView zoomScale="70" zoomScaleNormal="70" workbookViewId="0">
      <selection activeCell="F136" sqref="F136"/>
    </sheetView>
  </sheetViews>
  <sheetFormatPr defaultColWidth="9.109375" defaultRowHeight="14.4" x14ac:dyDescent="0.3"/>
  <cols>
    <col min="1" max="1" width="4.44140625" style="1" bestFit="1" customWidth="1"/>
    <col min="2" max="2" width="33.88671875" style="1" bestFit="1" customWidth="1"/>
    <col min="3" max="3" width="5.88671875" style="1" customWidth="1"/>
    <col min="4" max="4" width="7.33203125" style="1" customWidth="1"/>
    <col min="5" max="5" width="53.33203125" style="1" customWidth="1"/>
    <col min="6" max="6" width="44.44140625" style="1" customWidth="1"/>
    <col min="7" max="7" width="15" style="1" customWidth="1"/>
    <col min="8" max="8" width="14" style="1" customWidth="1"/>
    <col min="9" max="9" width="29.5546875" style="1" bestFit="1" customWidth="1"/>
    <col min="10" max="10" width="17" style="1" customWidth="1"/>
    <col min="11" max="11" width="255.6640625" style="1" hidden="1" customWidth="1"/>
    <col min="12" max="12" width="42.5546875" style="1" customWidth="1"/>
    <col min="13" max="13" width="30.6640625" style="1" bestFit="1" customWidth="1"/>
    <col min="14" max="14" width="9.109375" style="1"/>
    <col min="15" max="15" width="7.33203125" style="1" bestFit="1" customWidth="1"/>
    <col min="16" max="17" width="16.6640625" style="1" customWidth="1"/>
    <col min="18" max="18" width="16.5546875" style="1" customWidth="1"/>
    <col min="19" max="19" width="14.88671875" style="1" bestFit="1" customWidth="1"/>
    <col min="20" max="20" width="19.109375" style="1" bestFit="1" customWidth="1"/>
    <col min="21" max="21" width="14.88671875" style="1" bestFit="1" customWidth="1"/>
    <col min="22" max="16384" width="9.10937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577</v>
      </c>
      <c r="O1" s="1" t="s">
        <v>756</v>
      </c>
      <c r="P1" s="1" t="s">
        <v>428</v>
      </c>
      <c r="Q1" s="1" t="s">
        <v>429</v>
      </c>
      <c r="R1" s="1" t="s">
        <v>430</v>
      </c>
      <c r="S1" s="1" t="s">
        <v>618</v>
      </c>
      <c r="T1" s="1" t="s">
        <v>617</v>
      </c>
      <c r="U1" s="1" t="s">
        <v>619</v>
      </c>
    </row>
    <row r="2" spans="1:21" x14ac:dyDescent="0.3">
      <c r="A2" s="1">
        <v>1</v>
      </c>
      <c r="B2" s="1" t="s">
        <v>12</v>
      </c>
      <c r="C2" s="1">
        <v>301</v>
      </c>
      <c r="D2" s="1">
        <v>1</v>
      </c>
      <c r="E2" s="1" t="s">
        <v>13</v>
      </c>
      <c r="F2" s="1">
        <v>17009824</v>
      </c>
      <c r="G2" s="1" t="s">
        <v>14</v>
      </c>
      <c r="H2" s="1" t="s">
        <v>15</v>
      </c>
      <c r="I2" s="1">
        <v>0.72499999999999998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578</v>
      </c>
      <c r="O2" s="1" t="s">
        <v>431</v>
      </c>
      <c r="P2" s="2">
        <v>1.1529216375870805</v>
      </c>
      <c r="Q2" s="2">
        <v>1.1152099144187984</v>
      </c>
      <c r="R2" s="2">
        <v>1.1323765978816682</v>
      </c>
      <c r="S2" s="2">
        <f t="shared" ref="S2:S8" si="0">AVERAGE(P2:R2)</f>
        <v>1.1335027166291824</v>
      </c>
      <c r="T2" s="3">
        <f>STDEV(P2:R2)</f>
        <v>1.8881065215061759E-2</v>
      </c>
      <c r="U2" s="1">
        <f>_xlfn.T.TEST(P2:R2,P3:R3,2,3)</f>
        <v>5.7019416412571492E-3</v>
      </c>
    </row>
    <row r="3" spans="1:21" x14ac:dyDescent="0.3">
      <c r="A3" s="1">
        <v>2</v>
      </c>
      <c r="B3" s="1" t="s">
        <v>20</v>
      </c>
      <c r="C3" s="1">
        <v>301</v>
      </c>
      <c r="D3" s="1">
        <v>1</v>
      </c>
      <c r="E3" s="1" t="s">
        <v>13</v>
      </c>
      <c r="F3" s="1">
        <v>17009824</v>
      </c>
      <c r="G3" s="1" t="s">
        <v>14</v>
      </c>
      <c r="H3" s="1" t="s">
        <v>15</v>
      </c>
      <c r="I3" s="1">
        <v>0.72499999999999998</v>
      </c>
      <c r="J3" s="1" t="s">
        <v>16</v>
      </c>
      <c r="K3" s="1" t="s">
        <v>21</v>
      </c>
      <c r="L3" s="1" t="s">
        <v>18</v>
      </c>
      <c r="M3" s="1" t="s">
        <v>19</v>
      </c>
      <c r="N3" s="1" t="s">
        <v>578</v>
      </c>
      <c r="O3" s="1" t="s">
        <v>432</v>
      </c>
      <c r="P3" s="2">
        <v>0.62922505690123154</v>
      </c>
      <c r="Q3" s="2">
        <v>0.76629919386518508</v>
      </c>
      <c r="R3" s="2">
        <v>0.71775228802964874</v>
      </c>
      <c r="S3" s="2">
        <f t="shared" si="0"/>
        <v>0.70442551293202182</v>
      </c>
      <c r="T3" s="3">
        <f t="shared" ref="T3:T66" si="1">STDEV(P3:R3)</f>
        <v>6.950202843788246E-2</v>
      </c>
      <c r="U3" s="1" t="s">
        <v>561</v>
      </c>
    </row>
    <row r="4" spans="1:21" x14ac:dyDescent="0.3">
      <c r="A4" s="1">
        <v>3</v>
      </c>
      <c r="B4" s="1" t="s">
        <v>22</v>
      </c>
      <c r="C4" s="1">
        <v>301</v>
      </c>
      <c r="D4" s="1">
        <v>1</v>
      </c>
      <c r="E4" s="1" t="s">
        <v>23</v>
      </c>
      <c r="F4" s="1">
        <v>54764162</v>
      </c>
      <c r="G4" s="1" t="s">
        <v>24</v>
      </c>
      <c r="H4" s="1" t="s">
        <v>15</v>
      </c>
      <c r="I4" s="1">
        <v>0.13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579</v>
      </c>
      <c r="O4" s="1" t="s">
        <v>433</v>
      </c>
      <c r="P4" s="2">
        <v>0.28469889948874816</v>
      </c>
      <c r="Q4" s="2">
        <v>0.24106616519042107</v>
      </c>
      <c r="R4" s="2">
        <v>0.31614462922753767</v>
      </c>
      <c r="S4" s="2">
        <f t="shared" si="0"/>
        <v>0.28063656463556891</v>
      </c>
      <c r="T4" s="3">
        <f t="shared" si="1"/>
        <v>3.7703724801240721E-2</v>
      </c>
      <c r="U4" s="1">
        <f>_xlfn.T.TEST(P4:R4,P5:R5,2,3)</f>
        <v>0.1519542809084464</v>
      </c>
    </row>
    <row r="5" spans="1:21" x14ac:dyDescent="0.3">
      <c r="A5" s="1">
        <v>4</v>
      </c>
      <c r="B5" s="1" t="s">
        <v>29</v>
      </c>
      <c r="C5" s="1">
        <v>301</v>
      </c>
      <c r="D5" s="1">
        <v>1</v>
      </c>
      <c r="E5" s="1" t="s">
        <v>23</v>
      </c>
      <c r="F5" s="1">
        <v>54764162</v>
      </c>
      <c r="G5" s="1" t="s">
        <v>24</v>
      </c>
      <c r="H5" s="1" t="s">
        <v>15</v>
      </c>
      <c r="I5" s="1">
        <v>0.13</v>
      </c>
      <c r="J5" s="1" t="s">
        <v>25</v>
      </c>
      <c r="K5" s="1" t="s">
        <v>30</v>
      </c>
      <c r="L5" s="1" t="s">
        <v>27</v>
      </c>
      <c r="M5" s="1" t="s">
        <v>28</v>
      </c>
      <c r="N5" s="1" t="s">
        <v>579</v>
      </c>
      <c r="O5" s="1" t="s">
        <v>434</v>
      </c>
      <c r="P5" s="2">
        <v>0.31033368862660743</v>
      </c>
      <c r="Q5" s="2">
        <v>0.32147612750440624</v>
      </c>
      <c r="R5" s="2">
        <v>0.35106281166295938</v>
      </c>
      <c r="S5" s="2">
        <f t="shared" si="0"/>
        <v>0.32762420926465768</v>
      </c>
      <c r="T5" s="3">
        <f t="shared" si="1"/>
        <v>2.1049098503870094E-2</v>
      </c>
      <c r="U5" s="1" t="s">
        <v>561</v>
      </c>
    </row>
    <row r="6" spans="1:21" x14ac:dyDescent="0.3">
      <c r="A6" s="1">
        <v>5</v>
      </c>
      <c r="B6" s="1" t="s">
        <v>31</v>
      </c>
      <c r="C6" s="1">
        <v>583</v>
      </c>
      <c r="D6" s="1">
        <v>2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567</v>
      </c>
      <c r="J6" s="1" t="s">
        <v>36</v>
      </c>
      <c r="K6" s="1" t="s">
        <v>37</v>
      </c>
      <c r="L6" s="1" t="s">
        <v>38</v>
      </c>
      <c r="M6" s="1" t="s">
        <v>39</v>
      </c>
      <c r="N6" s="1" t="s">
        <v>580</v>
      </c>
      <c r="O6" s="1" t="s">
        <v>435</v>
      </c>
      <c r="P6" s="2">
        <v>1.1515305118092138</v>
      </c>
      <c r="Q6" s="2">
        <v>1.2180172975123802</v>
      </c>
      <c r="R6" s="2">
        <v>1.096240207869958</v>
      </c>
      <c r="S6" s="2">
        <f t="shared" si="0"/>
        <v>1.1552626723971839</v>
      </c>
      <c r="T6" s="3">
        <f t="shared" si="1"/>
        <v>6.0974270454310725E-2</v>
      </c>
      <c r="U6" s="1">
        <f>_xlfn.T.TEST(P6:R6,P7:R7,2,3)</f>
        <v>2.5546252895138725E-2</v>
      </c>
    </row>
    <row r="7" spans="1:21" x14ac:dyDescent="0.3">
      <c r="A7" s="1">
        <v>6</v>
      </c>
      <c r="B7" s="1" t="s">
        <v>40</v>
      </c>
      <c r="C7" s="1">
        <v>583</v>
      </c>
      <c r="D7" s="1">
        <v>2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567</v>
      </c>
      <c r="J7" s="1" t="s">
        <v>36</v>
      </c>
      <c r="K7" s="1" t="s">
        <v>41</v>
      </c>
      <c r="L7" s="1" t="s">
        <v>38</v>
      </c>
      <c r="M7" s="1" t="s">
        <v>39</v>
      </c>
      <c r="N7" s="1" t="s">
        <v>580</v>
      </c>
      <c r="O7" s="1" t="s">
        <v>436</v>
      </c>
      <c r="P7" s="2">
        <v>0.94785847100296072</v>
      </c>
      <c r="Q7" s="2">
        <v>0.98270711199292782</v>
      </c>
      <c r="R7" s="2">
        <v>0.96711662281063859</v>
      </c>
      <c r="S7" s="2">
        <f t="shared" si="0"/>
        <v>0.96589406860217564</v>
      </c>
      <c r="T7" s="3">
        <f t="shared" si="1"/>
        <v>1.7456457939867883E-2</v>
      </c>
      <c r="U7" s="1" t="s">
        <v>561</v>
      </c>
    </row>
    <row r="8" spans="1:21" x14ac:dyDescent="0.3">
      <c r="A8" s="1">
        <v>7</v>
      </c>
      <c r="B8" s="1" t="s">
        <v>42</v>
      </c>
      <c r="C8" s="1">
        <v>301</v>
      </c>
      <c r="D8" s="1">
        <v>1</v>
      </c>
      <c r="E8" s="1" t="s">
        <v>43</v>
      </c>
      <c r="F8" s="1">
        <v>10331310</v>
      </c>
      <c r="G8" s="1" t="s">
        <v>15</v>
      </c>
      <c r="H8" s="1" t="s">
        <v>24</v>
      </c>
      <c r="I8" s="1">
        <v>0.19600000000000001</v>
      </c>
      <c r="J8" s="1" t="s">
        <v>44</v>
      </c>
      <c r="K8" s="1" t="s">
        <v>45</v>
      </c>
      <c r="L8" s="1" t="s">
        <v>46</v>
      </c>
      <c r="M8" s="1" t="s">
        <v>47</v>
      </c>
      <c r="N8" s="1" t="s">
        <v>581</v>
      </c>
      <c r="O8" s="1" t="s">
        <v>437</v>
      </c>
      <c r="P8" s="2">
        <v>0.14741898922085545</v>
      </c>
      <c r="Q8" s="2">
        <v>0.17147140189155699</v>
      </c>
      <c r="R8" s="2">
        <v>0.16931443182190048</v>
      </c>
      <c r="S8" s="2">
        <f t="shared" si="0"/>
        <v>0.16273494097810431</v>
      </c>
      <c r="T8" s="3">
        <f t="shared" si="1"/>
        <v>1.3307776434969491E-2</v>
      </c>
      <c r="U8" s="1">
        <f>_xlfn.T.TEST(P8:R8,P9:R9,2,3)</f>
        <v>0.11223109457944197</v>
      </c>
    </row>
    <row r="9" spans="1:21" x14ac:dyDescent="0.3">
      <c r="A9" s="1">
        <v>8</v>
      </c>
      <c r="B9" s="1" t="s">
        <v>48</v>
      </c>
      <c r="C9" s="1">
        <v>301</v>
      </c>
      <c r="D9" s="1">
        <v>1</v>
      </c>
      <c r="E9" s="1" t="s">
        <v>43</v>
      </c>
      <c r="F9" s="1">
        <v>10331310</v>
      </c>
      <c r="G9" s="1" t="s">
        <v>15</v>
      </c>
      <c r="H9" s="1" t="s">
        <v>24</v>
      </c>
      <c r="I9" s="1">
        <v>0.19600000000000001</v>
      </c>
      <c r="J9" s="1" t="s">
        <v>44</v>
      </c>
      <c r="K9" s="1" t="s">
        <v>49</v>
      </c>
      <c r="L9" s="1" t="s">
        <v>46</v>
      </c>
      <c r="M9" s="1" t="s">
        <v>47</v>
      </c>
      <c r="N9" s="1" t="s">
        <v>581</v>
      </c>
      <c r="O9" s="1" t="s">
        <v>438</v>
      </c>
      <c r="P9" s="2">
        <v>0.18820275537338274</v>
      </c>
      <c r="Q9" s="2">
        <v>0.18158347943003683</v>
      </c>
      <c r="R9" s="2">
        <v>0.17657239495003083</v>
      </c>
      <c r="S9" s="2">
        <f t="shared" ref="S9:S72" si="2">AVERAGE(P9:R9)</f>
        <v>0.18211954325115012</v>
      </c>
      <c r="T9" s="3">
        <f t="shared" si="1"/>
        <v>5.8336818742109669E-3</v>
      </c>
      <c r="U9" s="1" t="s">
        <v>561</v>
      </c>
    </row>
    <row r="10" spans="1:21" x14ac:dyDescent="0.3">
      <c r="A10" s="1">
        <v>9</v>
      </c>
      <c r="B10" s="1" t="s">
        <v>50</v>
      </c>
      <c r="C10" s="1">
        <v>301</v>
      </c>
      <c r="D10" s="1">
        <v>1</v>
      </c>
      <c r="E10" s="1" t="s">
        <v>51</v>
      </c>
      <c r="F10" s="1">
        <v>105337189</v>
      </c>
      <c r="G10" s="1" t="s">
        <v>15</v>
      </c>
      <c r="H10" s="1" t="s">
        <v>24</v>
      </c>
      <c r="I10" s="1">
        <v>0.34499999999999997</v>
      </c>
      <c r="J10" s="1" t="s">
        <v>44</v>
      </c>
      <c r="K10" s="1" t="s">
        <v>52</v>
      </c>
      <c r="L10" s="1" t="s">
        <v>53</v>
      </c>
      <c r="M10" s="1" t="s">
        <v>54</v>
      </c>
      <c r="N10" s="1" t="s">
        <v>582</v>
      </c>
      <c r="O10" s="1" t="s">
        <v>439</v>
      </c>
      <c r="P10" s="2">
        <v>1.5387894414259156</v>
      </c>
      <c r="Q10" s="2">
        <v>1.3911400033964818</v>
      </c>
      <c r="R10" s="2">
        <v>1.4224710168265298</v>
      </c>
      <c r="S10" s="2">
        <f>AVERAGE(P10:R10)</f>
        <v>1.4508001538829756</v>
      </c>
      <c r="T10" s="3">
        <f t="shared" si="1"/>
        <v>7.7794563707074507E-2</v>
      </c>
      <c r="U10" s="1">
        <f>_xlfn.T.TEST(P10:R10,P11:R11,2,3)</f>
        <v>4.2601900654333311E-3</v>
      </c>
    </row>
    <row r="11" spans="1:21" x14ac:dyDescent="0.3">
      <c r="A11" s="1">
        <v>10</v>
      </c>
      <c r="B11" s="1" t="s">
        <v>55</v>
      </c>
      <c r="C11" s="1">
        <v>301</v>
      </c>
      <c r="D11" s="1">
        <v>1</v>
      </c>
      <c r="E11" s="1" t="s">
        <v>51</v>
      </c>
      <c r="F11" s="1">
        <v>105337189</v>
      </c>
      <c r="G11" s="1" t="s">
        <v>15</v>
      </c>
      <c r="H11" s="1" t="s">
        <v>24</v>
      </c>
      <c r="I11" s="1">
        <v>0.34499999999999997</v>
      </c>
      <c r="J11" s="1" t="s">
        <v>44</v>
      </c>
      <c r="K11" s="1" t="s">
        <v>56</v>
      </c>
      <c r="L11" s="1" t="s">
        <v>53</v>
      </c>
      <c r="M11" s="1" t="s">
        <v>54</v>
      </c>
      <c r="N11" s="1" t="s">
        <v>582</v>
      </c>
      <c r="O11" s="1" t="s">
        <v>440</v>
      </c>
      <c r="P11" s="2">
        <v>1.9923937774385176</v>
      </c>
      <c r="Q11" s="2">
        <v>1.80016254466536</v>
      </c>
      <c r="R11" s="2">
        <v>1.9630427277322184</v>
      </c>
      <c r="S11" s="2">
        <f>AVERAGE(P11:R11)</f>
        <v>1.918533016612032</v>
      </c>
      <c r="T11" s="3">
        <f t="shared" si="1"/>
        <v>0.10355697707722941</v>
      </c>
      <c r="U11" s="1" t="s">
        <v>561</v>
      </c>
    </row>
    <row r="12" spans="1:21" x14ac:dyDescent="0.3">
      <c r="A12" s="1">
        <v>11</v>
      </c>
      <c r="B12" s="1" t="s">
        <v>57</v>
      </c>
      <c r="C12" s="1">
        <v>301</v>
      </c>
      <c r="D12" s="1">
        <v>1</v>
      </c>
      <c r="E12" s="1" t="s">
        <v>58</v>
      </c>
      <c r="F12" s="1">
        <v>145366886</v>
      </c>
      <c r="G12" s="1" t="s">
        <v>14</v>
      </c>
      <c r="H12" s="1" t="s">
        <v>15</v>
      </c>
      <c r="I12" s="1">
        <v>0.83899999999999997</v>
      </c>
      <c r="J12" s="1" t="s">
        <v>36</v>
      </c>
      <c r="K12" s="1" t="s">
        <v>59</v>
      </c>
      <c r="L12" s="1" t="s">
        <v>60</v>
      </c>
      <c r="M12" s="1" t="s">
        <v>19</v>
      </c>
      <c r="N12" s="1" t="s">
        <v>583</v>
      </c>
      <c r="O12" s="1" t="s">
        <v>441</v>
      </c>
      <c r="P12" s="2">
        <v>0.64778176177340774</v>
      </c>
      <c r="Q12" s="2">
        <v>0.64536301873652935</v>
      </c>
      <c r="R12" s="2">
        <v>0.624098920862172</v>
      </c>
      <c r="S12" s="2">
        <f>AVERAGE(P12:R12)</f>
        <v>0.63908123379070292</v>
      </c>
      <c r="T12" s="3">
        <f t="shared" si="1"/>
        <v>1.3031302889041176E-2</v>
      </c>
      <c r="U12" s="1">
        <f>_xlfn.T.TEST(P12:R12,P13:R13,2,3)</f>
        <v>6.1331260415667024E-3</v>
      </c>
    </row>
    <row r="13" spans="1:21" x14ac:dyDescent="0.3">
      <c r="A13" s="1">
        <v>12</v>
      </c>
      <c r="B13" s="1" t="s">
        <v>61</v>
      </c>
      <c r="C13" s="1">
        <v>301</v>
      </c>
      <c r="D13" s="1">
        <v>1</v>
      </c>
      <c r="E13" s="1" t="s">
        <v>58</v>
      </c>
      <c r="F13" s="1">
        <v>145366886</v>
      </c>
      <c r="G13" s="1" t="s">
        <v>14</v>
      </c>
      <c r="H13" s="1" t="s">
        <v>15</v>
      </c>
      <c r="I13" s="1">
        <v>0.83899999999999997</v>
      </c>
      <c r="J13" s="1" t="s">
        <v>36</v>
      </c>
      <c r="K13" s="1" t="s">
        <v>62</v>
      </c>
      <c r="L13" s="1" t="s">
        <v>60</v>
      </c>
      <c r="M13" s="1" t="s">
        <v>19</v>
      </c>
      <c r="N13" s="1" t="s">
        <v>583</v>
      </c>
      <c r="O13" s="1" t="s">
        <v>442</v>
      </c>
      <c r="P13" s="2">
        <v>0.54350122907029419</v>
      </c>
      <c r="Q13" s="2">
        <v>0.54774815803067967</v>
      </c>
      <c r="R13" s="2">
        <v>0.57975279236351673</v>
      </c>
      <c r="S13" s="2">
        <f>AVERAGE(P13:R13)</f>
        <v>0.55700072648816346</v>
      </c>
      <c r="T13" s="3">
        <f t="shared" si="1"/>
        <v>1.9817958461858503E-2</v>
      </c>
      <c r="U13" s="1" t="s">
        <v>561</v>
      </c>
    </row>
    <row r="14" spans="1:21" x14ac:dyDescent="0.3">
      <c r="A14" s="1">
        <v>13</v>
      </c>
      <c r="B14" s="1" t="s">
        <v>63</v>
      </c>
      <c r="C14" s="1">
        <v>301</v>
      </c>
      <c r="D14" s="1">
        <v>1</v>
      </c>
      <c r="E14" s="1" t="s">
        <v>64</v>
      </c>
      <c r="F14" s="1">
        <v>191151202</v>
      </c>
      <c r="G14" s="1" t="s">
        <v>24</v>
      </c>
      <c r="H14" s="1" t="s">
        <v>15</v>
      </c>
      <c r="I14" s="1">
        <v>0.58099999999999996</v>
      </c>
      <c r="J14" s="1" t="s">
        <v>16</v>
      </c>
      <c r="K14" s="1" t="s">
        <v>65</v>
      </c>
      <c r="L14" s="1" t="s">
        <v>66</v>
      </c>
      <c r="M14" s="1" t="s">
        <v>67</v>
      </c>
      <c r="N14" s="1" t="s">
        <v>584</v>
      </c>
      <c r="O14" s="1" t="s">
        <v>443</v>
      </c>
      <c r="P14" s="2">
        <v>0.5448552356255254</v>
      </c>
      <c r="Q14" s="2">
        <v>0.52755570713559463</v>
      </c>
      <c r="R14" s="2">
        <v>0.53851366725100258</v>
      </c>
      <c r="S14" s="2">
        <f t="shared" si="2"/>
        <v>0.53697487000404076</v>
      </c>
      <c r="T14" s="3">
        <f t="shared" si="1"/>
        <v>8.7518194804808627E-3</v>
      </c>
      <c r="U14" s="1">
        <f>_xlfn.T.TEST(P14:R14,P15:R15,2,3)</f>
        <v>2.9656115409979987E-6</v>
      </c>
    </row>
    <row r="15" spans="1:21" x14ac:dyDescent="0.3">
      <c r="A15" s="1">
        <v>14</v>
      </c>
      <c r="B15" s="1" t="s">
        <v>68</v>
      </c>
      <c r="C15" s="1">
        <v>301</v>
      </c>
      <c r="D15" s="1">
        <v>1</v>
      </c>
      <c r="E15" s="1" t="s">
        <v>64</v>
      </c>
      <c r="F15" s="1">
        <v>191151202</v>
      </c>
      <c r="G15" s="1" t="s">
        <v>24</v>
      </c>
      <c r="H15" s="1" t="s">
        <v>15</v>
      </c>
      <c r="I15" s="1">
        <v>0.58099999999999996</v>
      </c>
      <c r="J15" s="1" t="s">
        <v>16</v>
      </c>
      <c r="K15" s="1" t="s">
        <v>69</v>
      </c>
      <c r="L15" s="1" t="s">
        <v>66</v>
      </c>
      <c r="M15" s="1" t="s">
        <v>67</v>
      </c>
      <c r="N15" s="1" t="s">
        <v>584</v>
      </c>
      <c r="O15" s="1" t="s">
        <v>444</v>
      </c>
      <c r="P15" s="2">
        <v>0.86995532260615138</v>
      </c>
      <c r="Q15" s="2">
        <v>0.85121515084136445</v>
      </c>
      <c r="R15" s="2">
        <v>0.86906777525376744</v>
      </c>
      <c r="S15" s="2">
        <f t="shared" si="2"/>
        <v>0.86341274956709435</v>
      </c>
      <c r="T15" s="3">
        <f t="shared" si="1"/>
        <v>1.0572747801831272E-2</v>
      </c>
      <c r="U15" s="1" t="s">
        <v>561</v>
      </c>
    </row>
    <row r="16" spans="1:21" x14ac:dyDescent="0.3">
      <c r="A16" s="1">
        <v>15</v>
      </c>
      <c r="B16" s="1" t="s">
        <v>70</v>
      </c>
      <c r="C16" s="1">
        <v>301</v>
      </c>
      <c r="D16" s="1">
        <v>1</v>
      </c>
      <c r="E16" s="1" t="s">
        <v>71</v>
      </c>
      <c r="F16" s="1">
        <v>82899017</v>
      </c>
      <c r="G16" s="1" t="s">
        <v>72</v>
      </c>
      <c r="H16" s="1" t="s">
        <v>14</v>
      </c>
      <c r="I16" s="1">
        <v>5.3999999999999999E-2</v>
      </c>
      <c r="J16" s="1" t="s">
        <v>16</v>
      </c>
      <c r="K16" s="1" t="s">
        <v>73</v>
      </c>
      <c r="L16" s="1" t="s">
        <v>74</v>
      </c>
      <c r="M16" s="1" t="s">
        <v>75</v>
      </c>
      <c r="N16" s="1" t="s">
        <v>585</v>
      </c>
      <c r="O16" s="1" t="s">
        <v>445</v>
      </c>
      <c r="P16" s="2">
        <v>0.72128511275691731</v>
      </c>
      <c r="Q16" s="2">
        <v>0.73955892920996291</v>
      </c>
      <c r="R16" s="2">
        <v>0.85615281737454141</v>
      </c>
      <c r="S16" s="2">
        <f t="shared" si="2"/>
        <v>0.77233228644714058</v>
      </c>
      <c r="T16" s="3">
        <f t="shared" si="1"/>
        <v>7.3163475489163465E-2</v>
      </c>
      <c r="U16" s="1">
        <f>_xlfn.T.TEST(P16:R16,P17:R17,2,3)</f>
        <v>1.4858892959956821E-2</v>
      </c>
    </row>
    <row r="17" spans="1:21" x14ac:dyDescent="0.3">
      <c r="A17" s="1">
        <v>16</v>
      </c>
      <c r="B17" s="1" t="s">
        <v>76</v>
      </c>
      <c r="C17" s="1">
        <v>301</v>
      </c>
      <c r="D17" s="1">
        <v>1</v>
      </c>
      <c r="E17" s="1" t="s">
        <v>71</v>
      </c>
      <c r="F17" s="1">
        <v>82899017</v>
      </c>
      <c r="G17" s="1" t="s">
        <v>72</v>
      </c>
      <c r="H17" s="1" t="s">
        <v>14</v>
      </c>
      <c r="I17" s="1">
        <v>5.3999999999999999E-2</v>
      </c>
      <c r="J17" s="1" t="s">
        <v>16</v>
      </c>
      <c r="K17" s="1" t="s">
        <v>77</v>
      </c>
      <c r="L17" s="1" t="s">
        <v>74</v>
      </c>
      <c r="M17" s="1" t="s">
        <v>75</v>
      </c>
      <c r="N17" s="1" t="s">
        <v>585</v>
      </c>
      <c r="O17" s="1" t="s">
        <v>446</v>
      </c>
      <c r="P17" s="2">
        <v>0.45161690348611266</v>
      </c>
      <c r="Q17" s="2">
        <v>0.43356081120741091</v>
      </c>
      <c r="R17" s="2">
        <v>0.45132829282315812</v>
      </c>
      <c r="S17" s="2">
        <f t="shared" si="2"/>
        <v>0.44550200250556055</v>
      </c>
      <c r="T17" s="3">
        <f t="shared" si="1"/>
        <v>1.0342381797388186E-2</v>
      </c>
      <c r="U17" s="1" t="s">
        <v>561</v>
      </c>
    </row>
    <row r="18" spans="1:21" x14ac:dyDescent="0.3">
      <c r="A18" s="1">
        <v>17</v>
      </c>
      <c r="B18" s="1" t="s">
        <v>78</v>
      </c>
      <c r="C18" s="1">
        <v>301</v>
      </c>
      <c r="D18" s="1">
        <v>1</v>
      </c>
      <c r="E18" s="1" t="s">
        <v>79</v>
      </c>
      <c r="F18" s="1">
        <v>82900171</v>
      </c>
      <c r="G18" s="1" t="s">
        <v>72</v>
      </c>
      <c r="H18" s="1" t="s">
        <v>14</v>
      </c>
      <c r="I18" s="1">
        <v>0.159</v>
      </c>
      <c r="J18" s="1" t="s">
        <v>16</v>
      </c>
      <c r="K18" s="1" t="s">
        <v>80</v>
      </c>
      <c r="L18" s="1" t="s">
        <v>81</v>
      </c>
      <c r="M18" s="1" t="s">
        <v>54</v>
      </c>
      <c r="N18" s="1" t="s">
        <v>585</v>
      </c>
      <c r="O18" s="1" t="s">
        <v>447</v>
      </c>
      <c r="P18" s="2">
        <v>0.29233892899433983</v>
      </c>
      <c r="Q18" s="2">
        <v>0.38228225590968368</v>
      </c>
      <c r="R18" s="2">
        <v>0.33548928310495685</v>
      </c>
      <c r="S18" s="2">
        <f>AVERAGE(P18:R18)</f>
        <v>0.33670348933632682</v>
      </c>
      <c r="T18" s="3">
        <f t="shared" si="1"/>
        <v>4.4983955325530067E-2</v>
      </c>
      <c r="U18" s="1">
        <f>_xlfn.T.TEST(P18:R18,P19:R19,2,3)</f>
        <v>0.39683302284554439</v>
      </c>
    </row>
    <row r="19" spans="1:21" x14ac:dyDescent="0.3">
      <c r="A19" s="1">
        <v>18</v>
      </c>
      <c r="B19" s="1" t="s">
        <v>82</v>
      </c>
      <c r="C19" s="1">
        <v>301</v>
      </c>
      <c r="D19" s="1">
        <v>1</v>
      </c>
      <c r="E19" s="1" t="s">
        <v>79</v>
      </c>
      <c r="F19" s="1">
        <v>82900171</v>
      </c>
      <c r="G19" s="1" t="s">
        <v>72</v>
      </c>
      <c r="H19" s="1" t="s">
        <v>14</v>
      </c>
      <c r="I19" s="1">
        <v>0.159</v>
      </c>
      <c r="J19" s="1" t="s">
        <v>16</v>
      </c>
      <c r="K19" s="1" t="s">
        <v>83</v>
      </c>
      <c r="L19" s="1" t="s">
        <v>81</v>
      </c>
      <c r="M19" s="1" t="s">
        <v>54</v>
      </c>
      <c r="N19" s="1" t="s">
        <v>585</v>
      </c>
      <c r="O19" s="1" t="s">
        <v>448</v>
      </c>
      <c r="P19" s="2">
        <v>0.32161083735918267</v>
      </c>
      <c r="Q19" s="2">
        <v>0.43119769314251766</v>
      </c>
      <c r="R19" s="2">
        <v>0.37423819491779742</v>
      </c>
      <c r="S19" s="2">
        <f>AVERAGE(P19:R19)</f>
        <v>0.37568224180649928</v>
      </c>
      <c r="T19" s="3">
        <f t="shared" si="1"/>
        <v>5.4807697394452744E-2</v>
      </c>
      <c r="U19" s="1" t="s">
        <v>561</v>
      </c>
    </row>
    <row r="20" spans="1:21" x14ac:dyDescent="0.3">
      <c r="A20" s="1">
        <v>19</v>
      </c>
      <c r="B20" s="1" t="s">
        <v>84</v>
      </c>
      <c r="C20" s="1">
        <v>301</v>
      </c>
      <c r="D20" s="1">
        <v>1</v>
      </c>
      <c r="E20" s="1" t="s">
        <v>85</v>
      </c>
      <c r="F20" s="1">
        <v>82901181</v>
      </c>
      <c r="G20" s="1" t="s">
        <v>14</v>
      </c>
      <c r="H20" s="1" t="s">
        <v>72</v>
      </c>
      <c r="I20" s="1">
        <v>0.14599999999999999</v>
      </c>
      <c r="J20" s="1" t="s">
        <v>16</v>
      </c>
      <c r="K20" s="1" t="s">
        <v>86</v>
      </c>
      <c r="L20" s="1" t="s">
        <v>81</v>
      </c>
      <c r="M20" s="1" t="s">
        <v>54</v>
      </c>
      <c r="N20" s="1" t="s">
        <v>585</v>
      </c>
      <c r="O20" s="1" t="s">
        <v>449</v>
      </c>
      <c r="P20" s="2">
        <v>0.808842849286319</v>
      </c>
      <c r="Q20" s="2">
        <v>0.99692149136264374</v>
      </c>
      <c r="R20" s="2">
        <v>0.91122553807322193</v>
      </c>
      <c r="S20" s="2">
        <f>AVERAGE(P20:R20)</f>
        <v>0.90566329290739489</v>
      </c>
      <c r="T20" s="3">
        <f t="shared" si="1"/>
        <v>9.4162613758232858E-2</v>
      </c>
      <c r="U20" s="1">
        <f>_xlfn.T.TEST(P20:R20,P21:R21,2,3)</f>
        <v>0.1688407278746315</v>
      </c>
    </row>
    <row r="21" spans="1:21" x14ac:dyDescent="0.3">
      <c r="A21" s="1">
        <v>20</v>
      </c>
      <c r="B21" s="1" t="s">
        <v>87</v>
      </c>
      <c r="C21" s="1">
        <v>301</v>
      </c>
      <c r="D21" s="1">
        <v>1</v>
      </c>
      <c r="E21" s="1" t="s">
        <v>85</v>
      </c>
      <c r="F21" s="1">
        <v>82901181</v>
      </c>
      <c r="G21" s="1" t="s">
        <v>14</v>
      </c>
      <c r="H21" s="1" t="s">
        <v>72</v>
      </c>
      <c r="I21" s="1">
        <v>0.14599999999999999</v>
      </c>
      <c r="J21" s="1" t="s">
        <v>16</v>
      </c>
      <c r="K21" s="1" t="s">
        <v>88</v>
      </c>
      <c r="L21" s="1" t="s">
        <v>81</v>
      </c>
      <c r="M21" s="1" t="s">
        <v>54</v>
      </c>
      <c r="N21" s="1" t="s">
        <v>585</v>
      </c>
      <c r="O21" s="1" t="s">
        <v>450</v>
      </c>
      <c r="P21" s="2">
        <v>0.76516798359166127</v>
      </c>
      <c r="Q21" s="2">
        <v>0.79436792777937226</v>
      </c>
      <c r="R21" s="2">
        <v>0.82343622469304101</v>
      </c>
      <c r="S21" s="2">
        <f t="shared" si="2"/>
        <v>0.79432404535469159</v>
      </c>
      <c r="T21" s="3">
        <f t="shared" si="1"/>
        <v>2.9134145336915697E-2</v>
      </c>
      <c r="U21" s="1" t="s">
        <v>561</v>
      </c>
    </row>
    <row r="22" spans="1:21" x14ac:dyDescent="0.3">
      <c r="A22" s="1">
        <v>21</v>
      </c>
      <c r="B22" s="1" t="s">
        <v>89</v>
      </c>
      <c r="C22" s="1">
        <v>301</v>
      </c>
      <c r="D22" s="1">
        <v>1</v>
      </c>
      <c r="E22" s="1" t="s">
        <v>90</v>
      </c>
      <c r="F22" s="1">
        <v>82989881</v>
      </c>
      <c r="G22" s="1" t="s">
        <v>72</v>
      </c>
      <c r="H22" s="1" t="s">
        <v>24</v>
      </c>
      <c r="I22" s="1">
        <v>5.0999999999999997E-2</v>
      </c>
      <c r="J22" s="1" t="s">
        <v>16</v>
      </c>
      <c r="K22" s="1" t="s">
        <v>91</v>
      </c>
      <c r="L22" s="1" t="s">
        <v>92</v>
      </c>
      <c r="M22" s="1" t="s">
        <v>54</v>
      </c>
      <c r="N22" s="1" t="s">
        <v>585</v>
      </c>
      <c r="O22" s="1" t="s">
        <v>451</v>
      </c>
      <c r="P22" s="2">
        <v>0.27454641252567075</v>
      </c>
      <c r="Q22" s="2">
        <v>0.35945357689826563</v>
      </c>
      <c r="R22" s="2">
        <v>0.31229386712351093</v>
      </c>
      <c r="S22" s="2">
        <f>AVERAGE(P22:R22)</f>
        <v>0.31543128551581573</v>
      </c>
      <c r="T22" s="3">
        <f t="shared" si="1"/>
        <v>4.2540441771037031E-2</v>
      </c>
      <c r="U22" s="1">
        <f>_xlfn.T.TEST(P22:R22,P23:R23,2,3)</f>
        <v>4.6871080433987994E-2</v>
      </c>
    </row>
    <row r="23" spans="1:21" x14ac:dyDescent="0.3">
      <c r="A23" s="1">
        <v>22</v>
      </c>
      <c r="B23" s="1" t="s">
        <v>93</v>
      </c>
      <c r="C23" s="1">
        <v>301</v>
      </c>
      <c r="D23" s="1">
        <v>1</v>
      </c>
      <c r="E23" s="1" t="s">
        <v>90</v>
      </c>
      <c r="F23" s="1">
        <v>82989881</v>
      </c>
      <c r="G23" s="1" t="s">
        <v>72</v>
      </c>
      <c r="H23" s="1" t="s">
        <v>24</v>
      </c>
      <c r="I23" s="1">
        <v>5.0999999999999997E-2</v>
      </c>
      <c r="J23" s="1" t="s">
        <v>16</v>
      </c>
      <c r="K23" s="1" t="s">
        <v>94</v>
      </c>
      <c r="L23" s="1" t="s">
        <v>92</v>
      </c>
      <c r="M23" s="1" t="s">
        <v>54</v>
      </c>
      <c r="N23" s="1" t="s">
        <v>585</v>
      </c>
      <c r="O23" s="1" t="s">
        <v>452</v>
      </c>
      <c r="P23" s="2">
        <v>0.21387994634230992</v>
      </c>
      <c r="Q23" s="2">
        <v>0.20408066401089672</v>
      </c>
      <c r="R23" s="2">
        <v>0.20662763144923174</v>
      </c>
      <c r="S23" s="2">
        <f>AVERAGE(P23:R23)</f>
        <v>0.20819608060081282</v>
      </c>
      <c r="T23" s="3">
        <f t="shared" si="1"/>
        <v>5.0844378360353857E-3</v>
      </c>
      <c r="U23" s="1" t="s">
        <v>561</v>
      </c>
    </row>
    <row r="24" spans="1:21" x14ac:dyDescent="0.3">
      <c r="A24" s="1">
        <v>23</v>
      </c>
      <c r="B24" s="1" t="s">
        <v>95</v>
      </c>
      <c r="C24" s="1">
        <v>301</v>
      </c>
      <c r="D24" s="1">
        <v>1</v>
      </c>
      <c r="E24" s="1" t="s">
        <v>96</v>
      </c>
      <c r="F24" s="1">
        <v>83010534</v>
      </c>
      <c r="G24" s="1" t="s">
        <v>72</v>
      </c>
      <c r="H24" s="1" t="s">
        <v>14</v>
      </c>
      <c r="I24" s="1">
        <v>0.28499999999999998</v>
      </c>
      <c r="J24" s="1" t="s">
        <v>16</v>
      </c>
      <c r="K24" s="1" t="s">
        <v>97</v>
      </c>
      <c r="L24" s="1" t="s">
        <v>81</v>
      </c>
      <c r="M24" s="1" t="s">
        <v>54</v>
      </c>
      <c r="N24" s="1" t="s">
        <v>585</v>
      </c>
      <c r="O24" s="1" t="s">
        <v>453</v>
      </c>
      <c r="P24" s="2">
        <v>0.770213243924744</v>
      </c>
      <c r="Q24" s="2">
        <v>0.77336645680695237</v>
      </c>
      <c r="R24" s="2">
        <v>0.76180860104520443</v>
      </c>
      <c r="S24" s="2">
        <f>AVERAGE(P24:R24)</f>
        <v>0.76846276725896701</v>
      </c>
      <c r="T24" s="3">
        <f t="shared" si="1"/>
        <v>5.974456784546613E-3</v>
      </c>
      <c r="U24" s="1">
        <f>_xlfn.T.TEST(P24:R24,P25:R25,2,3)</f>
        <v>3.2486216268570282E-2</v>
      </c>
    </row>
    <row r="25" spans="1:21" x14ac:dyDescent="0.3">
      <c r="A25" s="1">
        <v>24</v>
      </c>
      <c r="B25" s="1" t="s">
        <v>98</v>
      </c>
      <c r="C25" s="1">
        <v>301</v>
      </c>
      <c r="D25" s="1">
        <v>1</v>
      </c>
      <c r="E25" s="1" t="s">
        <v>96</v>
      </c>
      <c r="F25" s="1">
        <v>83010534</v>
      </c>
      <c r="G25" s="1" t="s">
        <v>72</v>
      </c>
      <c r="H25" s="1" t="s">
        <v>14</v>
      </c>
      <c r="I25" s="1">
        <v>0.28499999999999998</v>
      </c>
      <c r="J25" s="1" t="s">
        <v>16</v>
      </c>
      <c r="K25" s="1" t="s">
        <v>99</v>
      </c>
      <c r="L25" s="1" t="s">
        <v>81</v>
      </c>
      <c r="M25" s="1" t="s">
        <v>54</v>
      </c>
      <c r="N25" s="1" t="s">
        <v>585</v>
      </c>
      <c r="O25" s="1" t="s">
        <v>454</v>
      </c>
      <c r="P25" s="2">
        <v>0.93308105370055405</v>
      </c>
      <c r="Q25" s="2">
        <v>1.0356681210481289</v>
      </c>
      <c r="R25" s="2">
        <v>0.92030508192293092</v>
      </c>
      <c r="S25" s="2">
        <f>AVERAGE(P25:R25)</f>
        <v>0.96301808555720469</v>
      </c>
      <c r="T25" s="3">
        <f t="shared" si="1"/>
        <v>6.3240233288153452E-2</v>
      </c>
      <c r="U25" s="1" t="s">
        <v>561</v>
      </c>
    </row>
    <row r="26" spans="1:21" x14ac:dyDescent="0.3">
      <c r="A26" s="1">
        <v>25</v>
      </c>
      <c r="B26" s="1" t="s">
        <v>100</v>
      </c>
      <c r="C26" s="1">
        <v>301</v>
      </c>
      <c r="D26" s="1">
        <v>1</v>
      </c>
      <c r="E26" s="1" t="s">
        <v>101</v>
      </c>
      <c r="F26" s="1">
        <v>132454724</v>
      </c>
      <c r="G26" s="1" t="s">
        <v>15</v>
      </c>
      <c r="H26" s="1" t="s">
        <v>24</v>
      </c>
      <c r="I26" s="1">
        <v>0.14199999999999999</v>
      </c>
      <c r="J26" s="1" t="s">
        <v>44</v>
      </c>
      <c r="K26" s="1" t="s">
        <v>102</v>
      </c>
      <c r="L26" s="1" t="s">
        <v>103</v>
      </c>
      <c r="M26" s="1" t="s">
        <v>39</v>
      </c>
      <c r="N26" s="1" t="s">
        <v>586</v>
      </c>
      <c r="O26" s="1" t="s">
        <v>455</v>
      </c>
      <c r="P26" s="2">
        <v>0.64017694489872634</v>
      </c>
      <c r="Q26" s="2">
        <v>0.63771589378627092</v>
      </c>
      <c r="R26" s="2">
        <v>0.62366690029491167</v>
      </c>
      <c r="S26" s="2">
        <f>AVERAGE(P26:R26)</f>
        <v>0.63385324632663631</v>
      </c>
      <c r="T26" s="3">
        <f t="shared" si="1"/>
        <v>8.9070436876133984E-3</v>
      </c>
      <c r="U26" s="1">
        <f>_xlfn.T.TEST(P26:R26,P27:R27,2,3)</f>
        <v>2.0424413477903684E-3</v>
      </c>
    </row>
    <row r="27" spans="1:21" x14ac:dyDescent="0.3">
      <c r="A27" s="1">
        <v>26</v>
      </c>
      <c r="B27" s="1" t="s">
        <v>104</v>
      </c>
      <c r="C27" s="1">
        <v>301</v>
      </c>
      <c r="D27" s="1">
        <v>1</v>
      </c>
      <c r="E27" s="1" t="s">
        <v>101</v>
      </c>
      <c r="F27" s="1">
        <v>132454724</v>
      </c>
      <c r="G27" s="1" t="s">
        <v>15</v>
      </c>
      <c r="H27" s="1" t="s">
        <v>24</v>
      </c>
      <c r="I27" s="1">
        <v>0.14199999999999999</v>
      </c>
      <c r="J27" s="1" t="s">
        <v>44</v>
      </c>
      <c r="K27" s="1" t="s">
        <v>105</v>
      </c>
      <c r="L27" s="1" t="s">
        <v>103</v>
      </c>
      <c r="M27" s="1" t="s">
        <v>39</v>
      </c>
      <c r="N27" s="1" t="s">
        <v>586</v>
      </c>
      <c r="O27" s="1" t="s">
        <v>456</v>
      </c>
      <c r="P27" s="2">
        <v>0.3974096454765092</v>
      </c>
      <c r="Q27" s="2">
        <v>0.35303646183973647</v>
      </c>
      <c r="R27" s="2">
        <v>0.3419827924479254</v>
      </c>
      <c r="S27" s="2">
        <f t="shared" si="2"/>
        <v>0.36414296658805706</v>
      </c>
      <c r="T27" s="3">
        <f t="shared" si="1"/>
        <v>2.9335129877953624E-2</v>
      </c>
      <c r="U27" s="1" t="s">
        <v>561</v>
      </c>
    </row>
    <row r="28" spans="1:21" ht="15.6" x14ac:dyDescent="0.3">
      <c r="A28" s="1">
        <v>27</v>
      </c>
      <c r="B28" s="1" t="s">
        <v>106</v>
      </c>
      <c r="C28" s="1">
        <v>301</v>
      </c>
      <c r="D28" s="1">
        <v>1</v>
      </c>
      <c r="E28" s="1" t="s">
        <v>107</v>
      </c>
      <c r="F28" s="1">
        <v>132455672</v>
      </c>
      <c r="G28" s="1" t="s">
        <v>24</v>
      </c>
      <c r="H28" s="1" t="s">
        <v>15</v>
      </c>
      <c r="I28" s="1">
        <v>0.129</v>
      </c>
      <c r="J28" s="1" t="s">
        <v>44</v>
      </c>
      <c r="K28" s="1" t="s">
        <v>108</v>
      </c>
      <c r="L28" s="1" t="s">
        <v>103</v>
      </c>
      <c r="M28" s="1" t="s">
        <v>39</v>
      </c>
      <c r="N28" s="1" t="s">
        <v>586</v>
      </c>
      <c r="O28" s="1" t="s">
        <v>457</v>
      </c>
      <c r="P28" s="4">
        <v>0.37362187241373201</v>
      </c>
      <c r="Q28" s="4">
        <v>0.35948080552954692</v>
      </c>
      <c r="R28" s="4">
        <v>0.35482182658689937</v>
      </c>
      <c r="S28" s="2">
        <f>AVERAGE(P28:R28)</f>
        <v>0.36264150151005947</v>
      </c>
      <c r="T28" s="3">
        <f t="shared" si="1"/>
        <v>9.7904509642647644E-3</v>
      </c>
      <c r="U28" s="1">
        <f>_xlfn.T.TEST(P28:R28,P29:R29,2,3)</f>
        <v>8.9462448795369883E-4</v>
      </c>
    </row>
    <row r="29" spans="1:21" ht="15.6" x14ac:dyDescent="0.3">
      <c r="A29" s="1">
        <v>28</v>
      </c>
      <c r="B29" s="1" t="s">
        <v>109</v>
      </c>
      <c r="C29" s="1">
        <v>301</v>
      </c>
      <c r="D29" s="1">
        <v>1</v>
      </c>
      <c r="E29" s="1" t="s">
        <v>107</v>
      </c>
      <c r="F29" s="1">
        <v>132455672</v>
      </c>
      <c r="G29" s="1" t="s">
        <v>24</v>
      </c>
      <c r="H29" s="1" t="s">
        <v>15</v>
      </c>
      <c r="I29" s="1">
        <v>0.129</v>
      </c>
      <c r="J29" s="1" t="s">
        <v>44</v>
      </c>
      <c r="K29" s="1" t="s">
        <v>110</v>
      </c>
      <c r="L29" s="1" t="s">
        <v>103</v>
      </c>
      <c r="M29" s="1" t="s">
        <v>39</v>
      </c>
      <c r="N29" s="1" t="s">
        <v>586</v>
      </c>
      <c r="O29" s="1" t="s">
        <v>458</v>
      </c>
      <c r="P29" s="4">
        <v>0.42861624950797061</v>
      </c>
      <c r="Q29" s="4">
        <v>0.43927044073165838</v>
      </c>
      <c r="R29" s="4">
        <v>0.42359497827202586</v>
      </c>
      <c r="S29" s="2">
        <f>AVERAGE(P29:R29)</f>
        <v>0.43049388950388495</v>
      </c>
      <c r="T29" s="3">
        <f t="shared" si="1"/>
        <v>8.0046348946426066E-3</v>
      </c>
      <c r="U29" s="1" t="s">
        <v>561</v>
      </c>
    </row>
    <row r="30" spans="1:21" ht="15.6" x14ac:dyDescent="0.3">
      <c r="A30" s="1">
        <v>29</v>
      </c>
      <c r="B30" s="1" t="s">
        <v>111</v>
      </c>
      <c r="C30" s="1">
        <v>476</v>
      </c>
      <c r="D30" s="1">
        <v>2</v>
      </c>
      <c r="E30" s="1" t="s">
        <v>112</v>
      </c>
      <c r="F30" s="1" t="s">
        <v>113</v>
      </c>
      <c r="G30" s="1" t="s">
        <v>114</v>
      </c>
      <c r="H30" s="1" t="s">
        <v>115</v>
      </c>
      <c r="I30" s="1" t="s">
        <v>568</v>
      </c>
      <c r="J30" s="1" t="s">
        <v>44</v>
      </c>
      <c r="K30" s="1" t="s">
        <v>116</v>
      </c>
      <c r="L30" s="1" t="s">
        <v>117</v>
      </c>
      <c r="M30" s="1" t="s">
        <v>118</v>
      </c>
      <c r="N30" s="1" t="s">
        <v>586</v>
      </c>
      <c r="O30" s="1" t="s">
        <v>459</v>
      </c>
      <c r="P30" s="4">
        <v>0.61910259876250406</v>
      </c>
      <c r="Q30" s="4">
        <v>0.6397103834838278</v>
      </c>
      <c r="R30" s="4">
        <v>0.65838919693342879</v>
      </c>
      <c r="S30" s="2">
        <f>AVERAGE(P30:R30)</f>
        <v>0.63906739305992022</v>
      </c>
      <c r="T30" s="3">
        <f t="shared" si="1"/>
        <v>1.9651190205044938E-2</v>
      </c>
      <c r="U30" s="1">
        <f>_xlfn.T.TEST(P30:R30,P31:R31,2,3)</f>
        <v>3.5667279944601241E-3</v>
      </c>
    </row>
    <row r="31" spans="1:21" ht="15.6" x14ac:dyDescent="0.3">
      <c r="A31" s="1">
        <v>30</v>
      </c>
      <c r="B31" s="1" t="s">
        <v>119</v>
      </c>
      <c r="C31" s="1">
        <v>476</v>
      </c>
      <c r="D31" s="1">
        <v>2</v>
      </c>
      <c r="E31" s="1" t="s">
        <v>112</v>
      </c>
      <c r="F31" s="1" t="s">
        <v>113</v>
      </c>
      <c r="G31" s="1" t="s">
        <v>114</v>
      </c>
      <c r="H31" s="1" t="s">
        <v>115</v>
      </c>
      <c r="I31" s="1" t="s">
        <v>568</v>
      </c>
      <c r="J31" s="1" t="s">
        <v>44</v>
      </c>
      <c r="K31" s="1" t="s">
        <v>120</v>
      </c>
      <c r="L31" s="1" t="s">
        <v>117</v>
      </c>
      <c r="M31" s="1" t="s">
        <v>118</v>
      </c>
      <c r="N31" s="1" t="s">
        <v>586</v>
      </c>
      <c r="O31" s="1" t="s">
        <v>460</v>
      </c>
      <c r="P31" s="4">
        <v>0.39763216746341817</v>
      </c>
      <c r="Q31" s="4">
        <v>0.4705299889237286</v>
      </c>
      <c r="R31" s="4">
        <v>0.4471645751018779</v>
      </c>
      <c r="S31" s="2">
        <f>AVERAGE(P31:R31)</f>
        <v>0.43844224382967489</v>
      </c>
      <c r="T31" s="3">
        <f t="shared" si="1"/>
        <v>3.7223411860432168E-2</v>
      </c>
      <c r="U31" s="1" t="s">
        <v>561</v>
      </c>
    </row>
    <row r="32" spans="1:21" ht="15.6" x14ac:dyDescent="0.3">
      <c r="A32" s="1">
        <v>31</v>
      </c>
      <c r="B32" s="1" t="s">
        <v>121</v>
      </c>
      <c r="C32" s="1">
        <v>301</v>
      </c>
      <c r="D32" s="1">
        <v>1</v>
      </c>
      <c r="E32" s="1" t="s">
        <v>122</v>
      </c>
      <c r="F32" s="1">
        <v>132464907</v>
      </c>
      <c r="G32" s="1" t="s">
        <v>14</v>
      </c>
      <c r="H32" s="1" t="s">
        <v>15</v>
      </c>
      <c r="I32" s="1">
        <v>0.24299999999999999</v>
      </c>
      <c r="J32" s="1" t="s">
        <v>44</v>
      </c>
      <c r="K32" s="1" t="s">
        <v>123</v>
      </c>
      <c r="L32" s="1" t="s">
        <v>117</v>
      </c>
      <c r="M32" s="1" t="s">
        <v>118</v>
      </c>
      <c r="N32" s="1" t="s">
        <v>586</v>
      </c>
      <c r="O32" s="1" t="s">
        <v>461</v>
      </c>
      <c r="P32" s="4">
        <v>0.28077769354839216</v>
      </c>
      <c r="Q32" s="4">
        <v>0.30395697280639888</v>
      </c>
      <c r="R32" s="4">
        <v>0.28113648566742522</v>
      </c>
      <c r="S32" s="2">
        <f t="shared" si="2"/>
        <v>0.28862371734073872</v>
      </c>
      <c r="T32" s="3">
        <f t="shared" si="1"/>
        <v>1.3280200500277369E-2</v>
      </c>
      <c r="U32" s="1">
        <f>_xlfn.T.TEST(P32:R32,P33:R33,2,3)</f>
        <v>0.18091807157553086</v>
      </c>
    </row>
    <row r="33" spans="1:21" ht="15.6" x14ac:dyDescent="0.3">
      <c r="A33" s="1">
        <v>32</v>
      </c>
      <c r="B33" s="1" t="s">
        <v>124</v>
      </c>
      <c r="C33" s="1">
        <v>301</v>
      </c>
      <c r="D33" s="1">
        <v>1</v>
      </c>
      <c r="E33" s="1" t="s">
        <v>122</v>
      </c>
      <c r="F33" s="1">
        <v>132464907</v>
      </c>
      <c r="G33" s="1" t="s">
        <v>14</v>
      </c>
      <c r="H33" s="1" t="s">
        <v>15</v>
      </c>
      <c r="I33" s="1">
        <v>0.24299999999999999</v>
      </c>
      <c r="J33" s="1" t="s">
        <v>44</v>
      </c>
      <c r="K33" s="1" t="s">
        <v>125</v>
      </c>
      <c r="L33" s="1" t="s">
        <v>117</v>
      </c>
      <c r="M33" s="1" t="s">
        <v>118</v>
      </c>
      <c r="N33" s="1" t="s">
        <v>586</v>
      </c>
      <c r="O33" s="1" t="s">
        <v>462</v>
      </c>
      <c r="P33" s="4">
        <v>0.49841544993243986</v>
      </c>
      <c r="Q33" s="4">
        <v>0.36447494280443454</v>
      </c>
      <c r="R33" s="4">
        <v>0.32211424024889068</v>
      </c>
      <c r="S33" s="2">
        <f>AVERAGE(P33:R33)</f>
        <v>0.39500154432858836</v>
      </c>
      <c r="T33" s="3">
        <f t="shared" si="1"/>
        <v>9.2029528872159178E-2</v>
      </c>
      <c r="U33" s="1" t="s">
        <v>561</v>
      </c>
    </row>
    <row r="34" spans="1:21" ht="15.6" x14ac:dyDescent="0.3">
      <c r="A34" s="1">
        <v>33</v>
      </c>
      <c r="B34" s="1" t="s">
        <v>126</v>
      </c>
      <c r="C34" s="1">
        <v>301</v>
      </c>
      <c r="D34" s="1">
        <v>1</v>
      </c>
      <c r="E34" s="1" t="s">
        <v>127</v>
      </c>
      <c r="F34" s="1">
        <v>2970425</v>
      </c>
      <c r="G34" s="1" t="s">
        <v>72</v>
      </c>
      <c r="H34" s="1" t="s">
        <v>14</v>
      </c>
      <c r="I34" s="1">
        <v>0.39300000000000002</v>
      </c>
      <c r="J34" s="1" t="s">
        <v>16</v>
      </c>
      <c r="K34" s="1" t="s">
        <v>128</v>
      </c>
      <c r="L34" s="1" t="s">
        <v>129</v>
      </c>
      <c r="M34" s="1" t="s">
        <v>75</v>
      </c>
      <c r="N34" s="1" t="s">
        <v>587</v>
      </c>
      <c r="O34" s="1" t="s">
        <v>463</v>
      </c>
      <c r="P34" s="4">
        <v>0.47731132725816289</v>
      </c>
      <c r="Q34" s="4">
        <v>0.40649926304974976</v>
      </c>
      <c r="R34" s="4">
        <v>0.47911932470989832</v>
      </c>
      <c r="S34" s="2">
        <f>AVERAGE(P34:R34)</f>
        <v>0.45430997167260362</v>
      </c>
      <c r="T34" s="3">
        <f t="shared" si="1"/>
        <v>4.1415155534670484E-2</v>
      </c>
      <c r="U34" s="1">
        <f>_xlfn.T.TEST(P34:R34,P35:R35,2,3)</f>
        <v>3.0209646735764553E-2</v>
      </c>
    </row>
    <row r="35" spans="1:21" ht="15.6" x14ac:dyDescent="0.3">
      <c r="A35" s="1">
        <v>34</v>
      </c>
      <c r="B35" s="1" t="s">
        <v>130</v>
      </c>
      <c r="C35" s="1">
        <v>301</v>
      </c>
      <c r="D35" s="1">
        <v>1</v>
      </c>
      <c r="E35" s="1" t="s">
        <v>127</v>
      </c>
      <c r="F35" s="1">
        <v>2970425</v>
      </c>
      <c r="G35" s="1" t="s">
        <v>72</v>
      </c>
      <c r="H35" s="1" t="s">
        <v>14</v>
      </c>
      <c r="I35" s="1">
        <v>0.39300000000000002</v>
      </c>
      <c r="J35" s="1" t="s">
        <v>16</v>
      </c>
      <c r="K35" s="1" t="s">
        <v>131</v>
      </c>
      <c r="L35" s="1" t="s">
        <v>129</v>
      </c>
      <c r="M35" s="1" t="s">
        <v>75</v>
      </c>
      <c r="N35" s="1" t="s">
        <v>587</v>
      </c>
      <c r="O35" s="1" t="s">
        <v>464</v>
      </c>
      <c r="P35" s="4">
        <v>0.57504418769680232</v>
      </c>
      <c r="Q35" s="4">
        <v>0.58140491563246199</v>
      </c>
      <c r="R35" s="4">
        <v>0.55602574638052371</v>
      </c>
      <c r="S35" s="2">
        <f>AVERAGE(P35:R35)</f>
        <v>0.57082494990326271</v>
      </c>
      <c r="T35" s="3">
        <f t="shared" si="1"/>
        <v>1.3205189648333619E-2</v>
      </c>
      <c r="U35" s="1" t="s">
        <v>561</v>
      </c>
    </row>
    <row r="36" spans="1:21" ht="15.6" x14ac:dyDescent="0.3">
      <c r="A36" s="1">
        <v>35</v>
      </c>
      <c r="B36" s="1" t="s">
        <v>132</v>
      </c>
      <c r="C36" s="1">
        <v>301</v>
      </c>
      <c r="D36" s="1">
        <v>1</v>
      </c>
      <c r="E36" s="1" t="s">
        <v>133</v>
      </c>
      <c r="F36" s="1">
        <v>2971886</v>
      </c>
      <c r="G36" s="1" t="s">
        <v>14</v>
      </c>
      <c r="H36" s="1" t="s">
        <v>72</v>
      </c>
      <c r="I36" s="1">
        <v>0.36899999999999999</v>
      </c>
      <c r="J36" s="1" t="s">
        <v>16</v>
      </c>
      <c r="K36" s="1" t="s">
        <v>134</v>
      </c>
      <c r="L36" s="1" t="s">
        <v>129</v>
      </c>
      <c r="M36" s="1" t="s">
        <v>75</v>
      </c>
      <c r="N36" s="1" t="s">
        <v>587</v>
      </c>
      <c r="O36" s="1" t="s">
        <v>465</v>
      </c>
      <c r="P36" s="4">
        <v>0.45037472599333711</v>
      </c>
      <c r="Q36" s="4">
        <v>0.43337230286076467</v>
      </c>
      <c r="R36" s="4">
        <v>0.5070316744658464</v>
      </c>
      <c r="S36" s="2">
        <f t="shared" si="2"/>
        <v>0.46359290110664936</v>
      </c>
      <c r="T36" s="3">
        <f t="shared" si="1"/>
        <v>3.8567679101917988E-2</v>
      </c>
      <c r="U36" s="1">
        <f>_xlfn.T.TEST(P36:R36,P37:R37,2,3)</f>
        <v>1.4374228440176356E-2</v>
      </c>
    </row>
    <row r="37" spans="1:21" ht="15.6" x14ac:dyDescent="0.3">
      <c r="A37" s="1">
        <v>36</v>
      </c>
      <c r="B37" s="1" t="s">
        <v>135</v>
      </c>
      <c r="C37" s="1">
        <v>301</v>
      </c>
      <c r="D37" s="1">
        <v>1</v>
      </c>
      <c r="E37" s="1" t="s">
        <v>133</v>
      </c>
      <c r="F37" s="1">
        <v>2971886</v>
      </c>
      <c r="G37" s="1" t="s">
        <v>14</v>
      </c>
      <c r="H37" s="1" t="s">
        <v>72</v>
      </c>
      <c r="I37" s="1">
        <v>0.36899999999999999</v>
      </c>
      <c r="J37" s="1" t="s">
        <v>16</v>
      </c>
      <c r="K37" s="1" t="s">
        <v>136</v>
      </c>
      <c r="L37" s="1" t="s">
        <v>129</v>
      </c>
      <c r="M37" s="1" t="s">
        <v>75</v>
      </c>
      <c r="N37" s="1" t="s">
        <v>587</v>
      </c>
      <c r="O37" s="1" t="s">
        <v>466</v>
      </c>
      <c r="P37" s="4">
        <v>0.57764052987294212</v>
      </c>
      <c r="Q37" s="4">
        <v>0.56615097147050286</v>
      </c>
      <c r="R37" s="4">
        <v>0.61353027552681116</v>
      </c>
      <c r="S37" s="2">
        <f>AVERAGE(P37:R37)</f>
        <v>0.58577392562341879</v>
      </c>
      <c r="T37" s="3">
        <f t="shared" si="1"/>
        <v>2.4714645618346041E-2</v>
      </c>
      <c r="U37" s="1" t="s">
        <v>561</v>
      </c>
    </row>
    <row r="38" spans="1:21" ht="15.6" x14ac:dyDescent="0.3">
      <c r="A38" s="1">
        <v>37</v>
      </c>
      <c r="B38" s="1" t="s">
        <v>137</v>
      </c>
      <c r="C38" s="1">
        <v>301</v>
      </c>
      <c r="D38" s="1">
        <v>1</v>
      </c>
      <c r="E38" s="1" t="s">
        <v>138</v>
      </c>
      <c r="F38" s="1">
        <v>36963038</v>
      </c>
      <c r="G38" s="1" t="s">
        <v>24</v>
      </c>
      <c r="H38" s="1" t="s">
        <v>15</v>
      </c>
      <c r="I38" s="1">
        <v>0.106</v>
      </c>
      <c r="J38" s="1" t="s">
        <v>16</v>
      </c>
      <c r="K38" s="1" t="s">
        <v>139</v>
      </c>
      <c r="L38" s="1" t="s">
        <v>140</v>
      </c>
      <c r="M38" s="1" t="s">
        <v>75</v>
      </c>
      <c r="N38" s="1" t="s">
        <v>588</v>
      </c>
      <c r="O38" s="1" t="s">
        <v>467</v>
      </c>
      <c r="P38" s="4">
        <v>1.1028534027231298</v>
      </c>
      <c r="Q38" s="4">
        <v>1.0609547888964777</v>
      </c>
      <c r="R38" s="4">
        <v>1.117019186395386</v>
      </c>
      <c r="S38" s="2">
        <f>AVERAGE(P38:R38)</f>
        <v>1.093609126004998</v>
      </c>
      <c r="T38" s="3">
        <f t="shared" si="1"/>
        <v>2.915298708125718E-2</v>
      </c>
      <c r="U38" s="1">
        <f>_xlfn.T.TEST(P38:R38,P39:R39,2,3)</f>
        <v>5.7956823227006751E-3</v>
      </c>
    </row>
    <row r="39" spans="1:21" ht="15.6" x14ac:dyDescent="0.3">
      <c r="A39" s="1">
        <v>38</v>
      </c>
      <c r="B39" s="1" t="s">
        <v>141</v>
      </c>
      <c r="C39" s="1">
        <v>301</v>
      </c>
      <c r="D39" s="1">
        <v>1</v>
      </c>
      <c r="E39" s="1" t="s">
        <v>138</v>
      </c>
      <c r="F39" s="1">
        <v>36963038</v>
      </c>
      <c r="G39" s="1" t="s">
        <v>24</v>
      </c>
      <c r="H39" s="1" t="s">
        <v>15</v>
      </c>
      <c r="I39" s="1">
        <v>0.106</v>
      </c>
      <c r="J39" s="1" t="s">
        <v>16</v>
      </c>
      <c r="K39" s="1" t="s">
        <v>142</v>
      </c>
      <c r="L39" s="1" t="s">
        <v>140</v>
      </c>
      <c r="M39" s="1" t="s">
        <v>75</v>
      </c>
      <c r="N39" s="1" t="s">
        <v>588</v>
      </c>
      <c r="O39" s="1" t="s">
        <v>468</v>
      </c>
      <c r="P39" s="4">
        <v>1.3621371378462888</v>
      </c>
      <c r="Q39" s="4">
        <v>1.3127951946827512</v>
      </c>
      <c r="R39" s="4">
        <v>1.4294881997662177</v>
      </c>
      <c r="S39" s="2">
        <f>AVERAGE(P39:R39)</f>
        <v>1.3681401774317525</v>
      </c>
      <c r="T39" s="3">
        <f t="shared" si="1"/>
        <v>5.8577655484416298E-2</v>
      </c>
      <c r="U39" s="1" t="s">
        <v>561</v>
      </c>
    </row>
    <row r="40" spans="1:21" ht="15.6" x14ac:dyDescent="0.3">
      <c r="A40" s="1">
        <v>39</v>
      </c>
      <c r="B40" s="1" t="s">
        <v>143</v>
      </c>
      <c r="C40" s="1">
        <v>301</v>
      </c>
      <c r="D40" s="1">
        <v>1</v>
      </c>
      <c r="E40" s="1" t="s">
        <v>144</v>
      </c>
      <c r="F40" s="1">
        <v>135114363</v>
      </c>
      <c r="G40" s="1" t="s">
        <v>24</v>
      </c>
      <c r="H40" s="1" t="s">
        <v>15</v>
      </c>
      <c r="I40" s="1">
        <v>0.83299999999999996</v>
      </c>
      <c r="J40" s="1" t="s">
        <v>44</v>
      </c>
      <c r="K40" s="1" t="s">
        <v>145</v>
      </c>
      <c r="L40" s="1" t="s">
        <v>146</v>
      </c>
      <c r="M40" s="1" t="s">
        <v>147</v>
      </c>
      <c r="N40" s="1" t="s">
        <v>589</v>
      </c>
      <c r="O40" s="1" t="s">
        <v>469</v>
      </c>
      <c r="P40" s="4">
        <v>0.32860121481908394</v>
      </c>
      <c r="Q40" s="4">
        <v>0.37172110675844533</v>
      </c>
      <c r="R40" s="4">
        <v>0.35818542096521527</v>
      </c>
      <c r="S40" s="2">
        <f t="shared" si="2"/>
        <v>0.35283591418091481</v>
      </c>
      <c r="T40" s="3">
        <f t="shared" si="1"/>
        <v>2.205207898004195E-2</v>
      </c>
      <c r="U40" s="1">
        <f>_xlfn.T.TEST(P40:R40,P41:R41,2,3)</f>
        <v>4.1660890390469082E-6</v>
      </c>
    </row>
    <row r="41" spans="1:21" ht="15.6" x14ac:dyDescent="0.3">
      <c r="A41" s="1">
        <v>40</v>
      </c>
      <c r="B41" s="1" t="s">
        <v>148</v>
      </c>
      <c r="C41" s="1">
        <v>301</v>
      </c>
      <c r="D41" s="1">
        <v>1</v>
      </c>
      <c r="E41" s="1" t="s">
        <v>144</v>
      </c>
      <c r="F41" s="1">
        <v>135114363</v>
      </c>
      <c r="G41" s="1" t="s">
        <v>24</v>
      </c>
      <c r="H41" s="1" t="s">
        <v>15</v>
      </c>
      <c r="I41" s="1">
        <v>0.83299999999999996</v>
      </c>
      <c r="J41" s="1" t="s">
        <v>44</v>
      </c>
      <c r="K41" s="1" t="s">
        <v>149</v>
      </c>
      <c r="L41" s="1" t="s">
        <v>146</v>
      </c>
      <c r="M41" s="1" t="s">
        <v>147</v>
      </c>
      <c r="N41" s="1" t="s">
        <v>589</v>
      </c>
      <c r="O41" s="1" t="s">
        <v>470</v>
      </c>
      <c r="P41" s="4">
        <v>0.97068013989954338</v>
      </c>
      <c r="Q41" s="4">
        <v>1.0166859265582404</v>
      </c>
      <c r="R41" s="4">
        <v>0.99134101374577988</v>
      </c>
      <c r="S41" s="2">
        <f>AVERAGE(P41:R41)</f>
        <v>0.99290236006785459</v>
      </c>
      <c r="T41" s="3">
        <f t="shared" si="1"/>
        <v>2.3042600835723358E-2</v>
      </c>
      <c r="U41" s="1" t="s">
        <v>561</v>
      </c>
    </row>
    <row r="42" spans="1:21" ht="15.6" x14ac:dyDescent="0.3">
      <c r="A42" s="1">
        <v>41</v>
      </c>
      <c r="B42" s="1" t="s">
        <v>150</v>
      </c>
      <c r="C42" s="1">
        <v>301</v>
      </c>
      <c r="D42" s="1">
        <v>1</v>
      </c>
      <c r="E42" s="1" t="s">
        <v>151</v>
      </c>
      <c r="F42" s="1">
        <v>26397809</v>
      </c>
      <c r="G42" s="1" t="s">
        <v>24</v>
      </c>
      <c r="H42" s="1" t="s">
        <v>15</v>
      </c>
      <c r="I42" s="1">
        <v>0.20899999999999999</v>
      </c>
      <c r="J42" s="1" t="s">
        <v>25</v>
      </c>
      <c r="K42" s="1" t="s">
        <v>152</v>
      </c>
      <c r="L42" s="1" t="s">
        <v>153</v>
      </c>
      <c r="M42" s="1" t="s">
        <v>75</v>
      </c>
      <c r="N42" s="1" t="s">
        <v>590</v>
      </c>
      <c r="O42" s="1" t="s">
        <v>471</v>
      </c>
      <c r="P42" s="4">
        <v>0.62000433117970666</v>
      </c>
      <c r="Q42" s="4">
        <v>0.64227174130029774</v>
      </c>
      <c r="R42" s="4">
        <v>0.56199863410905382</v>
      </c>
      <c r="S42" s="2">
        <f>AVERAGE(P42:R42)</f>
        <v>0.6080915688630194</v>
      </c>
      <c r="T42" s="3">
        <f t="shared" si="1"/>
        <v>4.1441264025662235E-2</v>
      </c>
      <c r="U42" s="1">
        <f>_xlfn.T.TEST(P42:R42,P43:R43,2,3)</f>
        <v>1.7948146463092708E-2</v>
      </c>
    </row>
    <row r="43" spans="1:21" ht="15.6" x14ac:dyDescent="0.3">
      <c r="A43" s="1">
        <v>42</v>
      </c>
      <c r="B43" s="1" t="s">
        <v>154</v>
      </c>
      <c r="C43" s="1">
        <v>301</v>
      </c>
      <c r="D43" s="1">
        <v>1</v>
      </c>
      <c r="E43" s="1" t="s">
        <v>151</v>
      </c>
      <c r="F43" s="1">
        <v>26397809</v>
      </c>
      <c r="G43" s="1" t="s">
        <v>24</v>
      </c>
      <c r="H43" s="1" t="s">
        <v>15</v>
      </c>
      <c r="I43" s="1">
        <v>0.20899999999999999</v>
      </c>
      <c r="J43" s="1" t="s">
        <v>25</v>
      </c>
      <c r="K43" s="1" t="s">
        <v>155</v>
      </c>
      <c r="L43" s="1" t="s">
        <v>153</v>
      </c>
      <c r="M43" s="1" t="s">
        <v>75</v>
      </c>
      <c r="N43" s="1" t="s">
        <v>590</v>
      </c>
      <c r="O43" s="1" t="s">
        <v>472</v>
      </c>
      <c r="P43" s="4">
        <v>0.46001151056907114</v>
      </c>
      <c r="Q43" s="4">
        <v>0.48517420701771341</v>
      </c>
      <c r="R43" s="4">
        <v>0.51430323583382354</v>
      </c>
      <c r="S43" s="2">
        <f>AVERAGE(P43:R43)</f>
        <v>0.48649631780686936</v>
      </c>
      <c r="T43" s="3">
        <f t="shared" si="1"/>
        <v>2.7169998909825899E-2</v>
      </c>
      <c r="U43" s="1" t="s">
        <v>561</v>
      </c>
    </row>
    <row r="44" spans="1:21" ht="15.6" x14ac:dyDescent="0.3">
      <c r="A44" s="1">
        <v>43</v>
      </c>
      <c r="B44" s="1" t="s">
        <v>156</v>
      </c>
      <c r="C44" s="1">
        <v>844</v>
      </c>
      <c r="D44" s="1">
        <v>5</v>
      </c>
      <c r="E44" s="1" t="s">
        <v>157</v>
      </c>
      <c r="F44" s="1" t="s">
        <v>158</v>
      </c>
      <c r="G44" s="1" t="s">
        <v>159</v>
      </c>
      <c r="H44" s="1" t="s">
        <v>160</v>
      </c>
      <c r="I44" s="1" t="s">
        <v>569</v>
      </c>
      <c r="J44" s="1" t="s">
        <v>36</v>
      </c>
      <c r="K44" s="1" t="s">
        <v>161</v>
      </c>
      <c r="L44" s="1" t="s">
        <v>162</v>
      </c>
      <c r="M44" s="1" t="s">
        <v>163</v>
      </c>
      <c r="N44" s="1" t="s">
        <v>591</v>
      </c>
      <c r="O44" s="1" t="s">
        <v>473</v>
      </c>
      <c r="P44" s="4">
        <v>0.54630860388819469</v>
      </c>
      <c r="Q44" s="4">
        <v>0.56621518819672234</v>
      </c>
      <c r="R44" s="4">
        <v>0.46190320082228942</v>
      </c>
      <c r="S44" s="2">
        <f t="shared" si="2"/>
        <v>0.52480899763573552</v>
      </c>
      <c r="T44" s="3">
        <f t="shared" si="1"/>
        <v>5.5379802087575668E-2</v>
      </c>
      <c r="U44" s="1">
        <f>_xlfn.T.TEST(P44:R44,P45:R45,2,3)</f>
        <v>0.57961097260506356</v>
      </c>
    </row>
    <row r="45" spans="1:21" ht="15.6" x14ac:dyDescent="0.3">
      <c r="A45" s="1">
        <v>44</v>
      </c>
      <c r="B45" s="1" t="s">
        <v>164</v>
      </c>
      <c r="C45" s="1">
        <v>844</v>
      </c>
      <c r="D45" s="1">
        <v>5</v>
      </c>
      <c r="E45" s="1" t="s">
        <v>157</v>
      </c>
      <c r="F45" s="1" t="s">
        <v>158</v>
      </c>
      <c r="G45" s="1" t="s">
        <v>159</v>
      </c>
      <c r="H45" s="1" t="s">
        <v>160</v>
      </c>
      <c r="I45" s="1" t="s">
        <v>569</v>
      </c>
      <c r="J45" s="1" t="s">
        <v>36</v>
      </c>
      <c r="K45" s="1" t="s">
        <v>165</v>
      </c>
      <c r="L45" s="1" t="s">
        <v>162</v>
      </c>
      <c r="M45" s="1" t="s">
        <v>163</v>
      </c>
      <c r="N45" s="1" t="s">
        <v>591</v>
      </c>
      <c r="O45" s="1" t="s">
        <v>474</v>
      </c>
      <c r="P45" s="4">
        <v>0.50538113657349382</v>
      </c>
      <c r="Q45" s="4">
        <v>0.57536334632834074</v>
      </c>
      <c r="R45" s="4">
        <v>0.56429812532301316</v>
      </c>
      <c r="S45" s="2">
        <f>AVERAGE(P45:R45)</f>
        <v>0.54834753607494935</v>
      </c>
      <c r="T45" s="3">
        <f t="shared" si="1"/>
        <v>3.7619056255615811E-2</v>
      </c>
      <c r="U45" s="1" t="s">
        <v>561</v>
      </c>
    </row>
    <row r="46" spans="1:21" ht="15.6" x14ac:dyDescent="0.3">
      <c r="A46" s="1">
        <v>45</v>
      </c>
      <c r="B46" s="1" t="s">
        <v>166</v>
      </c>
      <c r="C46" s="1">
        <v>566</v>
      </c>
      <c r="D46" s="1">
        <v>2</v>
      </c>
      <c r="E46" s="1" t="s">
        <v>167</v>
      </c>
      <c r="F46" s="1" t="s">
        <v>168</v>
      </c>
      <c r="G46" s="1" t="s">
        <v>169</v>
      </c>
      <c r="H46" s="1" t="s">
        <v>35</v>
      </c>
      <c r="I46" s="1" t="s">
        <v>570</v>
      </c>
      <c r="J46" s="1" t="s">
        <v>170</v>
      </c>
      <c r="K46" s="1" t="s">
        <v>171</v>
      </c>
      <c r="L46" s="1" t="s">
        <v>172</v>
      </c>
      <c r="M46" s="1" t="s">
        <v>173</v>
      </c>
      <c r="N46" s="1" t="s">
        <v>592</v>
      </c>
      <c r="O46" s="1" t="s">
        <v>475</v>
      </c>
      <c r="P46" s="4">
        <v>0.39881168557460595</v>
      </c>
      <c r="Q46" s="4">
        <v>0.40075296312135372</v>
      </c>
      <c r="R46" s="4">
        <v>0.4154642137758654</v>
      </c>
      <c r="S46" s="2">
        <f>AVERAGE(P46:R46)</f>
        <v>0.40500962082394171</v>
      </c>
      <c r="T46" s="3">
        <f t="shared" si="1"/>
        <v>9.1058236843893723E-3</v>
      </c>
      <c r="U46" s="1">
        <f>_xlfn.T.TEST(P46:R46,P47:R47,2,3)</f>
        <v>5.4258952599221547E-2</v>
      </c>
    </row>
    <row r="47" spans="1:21" ht="15.6" x14ac:dyDescent="0.3">
      <c r="A47" s="1">
        <v>46</v>
      </c>
      <c r="B47" s="1" t="s">
        <v>174</v>
      </c>
      <c r="C47" s="1">
        <v>566</v>
      </c>
      <c r="D47" s="1">
        <v>2</v>
      </c>
      <c r="E47" s="1" t="s">
        <v>167</v>
      </c>
      <c r="F47" s="1" t="s">
        <v>168</v>
      </c>
      <c r="G47" s="1" t="s">
        <v>169</v>
      </c>
      <c r="H47" s="1" t="s">
        <v>35</v>
      </c>
      <c r="I47" s="1" t="s">
        <v>570</v>
      </c>
      <c r="J47" s="1" t="s">
        <v>170</v>
      </c>
      <c r="K47" s="1" t="s">
        <v>175</v>
      </c>
      <c r="L47" s="1" t="s">
        <v>172</v>
      </c>
      <c r="M47" s="1" t="s">
        <v>173</v>
      </c>
      <c r="N47" s="1" t="s">
        <v>592</v>
      </c>
      <c r="O47" s="1" t="s">
        <v>476</v>
      </c>
      <c r="P47" s="4">
        <v>0.52962303550569823</v>
      </c>
      <c r="Q47" s="4">
        <v>0.52136933107027916</v>
      </c>
      <c r="R47" s="4">
        <v>0.45201516714070727</v>
      </c>
      <c r="S47" s="2">
        <f t="shared" si="2"/>
        <v>0.50100251123889494</v>
      </c>
      <c r="T47" s="3">
        <f t="shared" si="1"/>
        <v>4.262453308333701E-2</v>
      </c>
      <c r="U47" s="1" t="s">
        <v>561</v>
      </c>
    </row>
    <row r="48" spans="1:21" ht="15.6" x14ac:dyDescent="0.3">
      <c r="A48" s="1">
        <v>47</v>
      </c>
      <c r="B48" s="1" t="s">
        <v>176</v>
      </c>
      <c r="C48" s="1">
        <v>301</v>
      </c>
      <c r="D48" s="1">
        <v>1</v>
      </c>
      <c r="E48" s="1" t="s">
        <v>177</v>
      </c>
      <c r="F48" s="1">
        <v>140478754</v>
      </c>
      <c r="G48" s="1" t="s">
        <v>15</v>
      </c>
      <c r="H48" s="1" t="s">
        <v>24</v>
      </c>
      <c r="I48" s="1">
        <v>0.26500000000000001</v>
      </c>
      <c r="J48" s="1" t="s">
        <v>16</v>
      </c>
      <c r="K48" s="1" t="s">
        <v>178</v>
      </c>
      <c r="L48" s="1" t="s">
        <v>179</v>
      </c>
      <c r="M48" s="1" t="s">
        <v>28</v>
      </c>
      <c r="N48" s="1" t="s">
        <v>593</v>
      </c>
      <c r="O48" s="1" t="s">
        <v>477</v>
      </c>
      <c r="P48" s="4">
        <v>0.45386915072451051</v>
      </c>
      <c r="Q48" s="4">
        <v>0.43881821488471517</v>
      </c>
      <c r="R48" s="4">
        <v>0.47029024877991554</v>
      </c>
      <c r="S48" s="2">
        <f t="shared" si="2"/>
        <v>0.45432587146304709</v>
      </c>
      <c r="T48" s="3">
        <f t="shared" si="1"/>
        <v>1.5740987095792858E-2</v>
      </c>
      <c r="U48" s="1">
        <f>_xlfn.T.TEST(P48:R48,P49:R49,2,3)</f>
        <v>2.3379170014462981E-2</v>
      </c>
    </row>
    <row r="49" spans="1:21" ht="15.6" x14ac:dyDescent="0.3">
      <c r="A49" s="1">
        <v>48</v>
      </c>
      <c r="B49" s="1" t="s">
        <v>180</v>
      </c>
      <c r="C49" s="1">
        <v>301</v>
      </c>
      <c r="D49" s="1">
        <v>1</v>
      </c>
      <c r="E49" s="1" t="s">
        <v>177</v>
      </c>
      <c r="F49" s="1">
        <v>140478754</v>
      </c>
      <c r="G49" s="1" t="s">
        <v>15</v>
      </c>
      <c r="H49" s="1" t="s">
        <v>24</v>
      </c>
      <c r="I49" s="1">
        <v>0.26500000000000001</v>
      </c>
      <c r="J49" s="1" t="s">
        <v>16</v>
      </c>
      <c r="K49" s="1" t="s">
        <v>181</v>
      </c>
      <c r="L49" s="1" t="s">
        <v>179</v>
      </c>
      <c r="M49" s="1" t="s">
        <v>28</v>
      </c>
      <c r="N49" s="1" t="s">
        <v>593</v>
      </c>
      <c r="O49" s="1" t="s">
        <v>478</v>
      </c>
      <c r="P49" s="4">
        <v>0.60143628465603505</v>
      </c>
      <c r="Q49" s="4">
        <v>0.52682681723089542</v>
      </c>
      <c r="R49" s="4">
        <v>0.5630455375104747</v>
      </c>
      <c r="S49" s="2">
        <f t="shared" si="2"/>
        <v>0.56376954646580169</v>
      </c>
      <c r="T49" s="3">
        <f t="shared" si="1"/>
        <v>3.731000266806863E-2</v>
      </c>
      <c r="U49" s="1" t="s">
        <v>561</v>
      </c>
    </row>
    <row r="50" spans="1:21" ht="15.6" x14ac:dyDescent="0.3">
      <c r="A50" s="1">
        <v>49</v>
      </c>
      <c r="B50" s="1" t="s">
        <v>182</v>
      </c>
      <c r="C50" s="1">
        <v>480</v>
      </c>
      <c r="D50" s="1">
        <v>2</v>
      </c>
      <c r="E50" s="1" t="s">
        <v>183</v>
      </c>
      <c r="F50" s="1" t="s">
        <v>184</v>
      </c>
      <c r="G50" s="1" t="s">
        <v>35</v>
      </c>
      <c r="H50" s="1" t="s">
        <v>185</v>
      </c>
      <c r="I50" s="1" t="s">
        <v>571</v>
      </c>
      <c r="J50" s="1" t="s">
        <v>44</v>
      </c>
      <c r="K50" s="1" t="s">
        <v>186</v>
      </c>
      <c r="L50" s="1" t="s">
        <v>187</v>
      </c>
      <c r="M50" s="1" t="s">
        <v>188</v>
      </c>
      <c r="N50" s="1" t="s">
        <v>594</v>
      </c>
      <c r="O50" s="1" t="s">
        <v>479</v>
      </c>
      <c r="P50" s="4">
        <v>1.185349582911069</v>
      </c>
      <c r="Q50" s="4">
        <v>1.3277361712865001</v>
      </c>
      <c r="R50" s="4">
        <v>1.1089766228335858</v>
      </c>
      <c r="S50" s="2">
        <f t="shared" si="2"/>
        <v>1.2073541256770517</v>
      </c>
      <c r="T50" s="3">
        <f t="shared" si="1"/>
        <v>0.11102740624091745</v>
      </c>
      <c r="U50" s="1">
        <f>_xlfn.T.TEST(P50:R50,P51:R51,2,3)</f>
        <v>0.82421651447505662</v>
      </c>
    </row>
    <row r="51" spans="1:21" ht="15.6" x14ac:dyDescent="0.3">
      <c r="A51" s="1">
        <v>50</v>
      </c>
      <c r="B51" s="1" t="s">
        <v>189</v>
      </c>
      <c r="C51" s="1">
        <v>480</v>
      </c>
      <c r="D51" s="1">
        <v>2</v>
      </c>
      <c r="E51" s="1" t="s">
        <v>183</v>
      </c>
      <c r="F51" s="1" t="s">
        <v>184</v>
      </c>
      <c r="G51" s="1" t="s">
        <v>35</v>
      </c>
      <c r="H51" s="1" t="s">
        <v>185</v>
      </c>
      <c r="I51" s="1" t="s">
        <v>571</v>
      </c>
      <c r="J51" s="1" t="s">
        <v>44</v>
      </c>
      <c r="K51" s="1" t="s">
        <v>190</v>
      </c>
      <c r="L51" s="1" t="s">
        <v>187</v>
      </c>
      <c r="M51" s="1" t="s">
        <v>188</v>
      </c>
      <c r="N51" s="1" t="s">
        <v>594</v>
      </c>
      <c r="O51" s="1" t="s">
        <v>480</v>
      </c>
      <c r="P51" s="4">
        <v>1.1303206405890582</v>
      </c>
      <c r="Q51" s="4">
        <v>1.1842338832236219</v>
      </c>
      <c r="R51" s="4">
        <v>1.254323079957431</v>
      </c>
      <c r="S51" s="2">
        <f t="shared" si="2"/>
        <v>1.1896258679233702</v>
      </c>
      <c r="T51" s="3">
        <f t="shared" si="1"/>
        <v>6.2176815346063521E-2</v>
      </c>
      <c r="U51" s="1" t="s">
        <v>561</v>
      </c>
    </row>
    <row r="52" spans="1:21" ht="15.6" x14ac:dyDescent="0.3">
      <c r="A52" s="1">
        <v>51</v>
      </c>
      <c r="B52" s="1" t="s">
        <v>191</v>
      </c>
      <c r="C52" s="1">
        <v>301</v>
      </c>
      <c r="D52" s="1">
        <v>1</v>
      </c>
      <c r="E52" s="1" t="s">
        <v>192</v>
      </c>
      <c r="F52" s="1">
        <v>129172930</v>
      </c>
      <c r="G52" s="1" t="s">
        <v>72</v>
      </c>
      <c r="H52" s="1" t="s">
        <v>14</v>
      </c>
      <c r="I52" s="1">
        <v>0.68799999999999994</v>
      </c>
      <c r="J52" s="1" t="s">
        <v>36</v>
      </c>
      <c r="K52" s="1" t="s">
        <v>193</v>
      </c>
      <c r="L52" s="1" t="s">
        <v>194</v>
      </c>
      <c r="M52" s="1" t="s">
        <v>19</v>
      </c>
      <c r="N52" s="1" t="s">
        <v>595</v>
      </c>
      <c r="O52" s="1" t="s">
        <v>481</v>
      </c>
      <c r="P52" s="4">
        <v>0.98033008070518035</v>
      </c>
      <c r="Q52" s="4">
        <v>0.92848663277781174</v>
      </c>
      <c r="R52" s="4">
        <v>0.98837831709479107</v>
      </c>
      <c r="S52" s="2">
        <f t="shared" si="2"/>
        <v>0.96573167685926098</v>
      </c>
      <c r="T52" s="3">
        <f t="shared" si="1"/>
        <v>3.2505207409238152E-2</v>
      </c>
      <c r="U52" s="1">
        <f>_xlfn.T.TEST(P52:R52,P53:R53,2,3)</f>
        <v>5.2170390980024435E-5</v>
      </c>
    </row>
    <row r="53" spans="1:21" ht="15.6" x14ac:dyDescent="0.3">
      <c r="A53" s="1">
        <v>52</v>
      </c>
      <c r="B53" s="1" t="s">
        <v>195</v>
      </c>
      <c r="C53" s="1">
        <v>301</v>
      </c>
      <c r="D53" s="1">
        <v>1</v>
      </c>
      <c r="E53" s="1" t="s">
        <v>192</v>
      </c>
      <c r="F53" s="1">
        <v>129172930</v>
      </c>
      <c r="G53" s="1" t="s">
        <v>72</v>
      </c>
      <c r="H53" s="1" t="s">
        <v>14</v>
      </c>
      <c r="I53" s="1">
        <v>0.68799999999999994</v>
      </c>
      <c r="J53" s="1" t="s">
        <v>36</v>
      </c>
      <c r="K53" s="1" t="s">
        <v>196</v>
      </c>
      <c r="L53" s="1" t="s">
        <v>194</v>
      </c>
      <c r="M53" s="1" t="s">
        <v>19</v>
      </c>
      <c r="N53" s="1" t="s">
        <v>595</v>
      </c>
      <c r="O53" s="1" t="s">
        <v>482</v>
      </c>
      <c r="P53" s="5">
        <v>0.41546106555649576</v>
      </c>
      <c r="Q53" s="5">
        <v>0.34084777372918923</v>
      </c>
      <c r="R53" s="5">
        <v>0.3515419609629869</v>
      </c>
      <c r="S53" s="2">
        <f t="shared" si="2"/>
        <v>0.36928360008289057</v>
      </c>
      <c r="T53" s="3">
        <f t="shared" si="1"/>
        <v>4.0346748918870468E-2</v>
      </c>
      <c r="U53" s="1" t="s">
        <v>561</v>
      </c>
    </row>
    <row r="54" spans="1:21" x14ac:dyDescent="0.3">
      <c r="A54" s="1">
        <v>53</v>
      </c>
      <c r="B54" s="1" t="s">
        <v>197</v>
      </c>
      <c r="C54" s="1">
        <v>301</v>
      </c>
      <c r="D54" s="1">
        <v>1</v>
      </c>
      <c r="E54" s="1" t="s">
        <v>198</v>
      </c>
      <c r="F54" s="1">
        <v>130042955</v>
      </c>
      <c r="G54" s="1" t="s">
        <v>72</v>
      </c>
      <c r="H54" s="1" t="s">
        <v>24</v>
      </c>
      <c r="I54" s="1">
        <v>0.16300000000000001</v>
      </c>
      <c r="J54" s="1" t="s">
        <v>25</v>
      </c>
      <c r="K54" s="1" t="s">
        <v>199</v>
      </c>
      <c r="L54" s="1" t="s">
        <v>200</v>
      </c>
      <c r="M54" s="1" t="s">
        <v>75</v>
      </c>
      <c r="N54" s="1" t="s">
        <v>596</v>
      </c>
      <c r="O54" s="1" t="s">
        <v>483</v>
      </c>
      <c r="P54" s="2">
        <v>0.66329271062486272</v>
      </c>
      <c r="Q54" s="2">
        <v>0.64714403292860601</v>
      </c>
      <c r="R54" s="2">
        <v>0.58754958821661885</v>
      </c>
      <c r="S54" s="1">
        <f t="shared" si="2"/>
        <v>0.63266211059002919</v>
      </c>
      <c r="T54" s="1">
        <f t="shared" si="1"/>
        <v>3.9894231462743852E-2</v>
      </c>
      <c r="U54" s="1">
        <f>_xlfn.T.TEST(P54:R54,P55:R55,2,3)</f>
        <v>1.0803799533276052E-3</v>
      </c>
    </row>
    <row r="55" spans="1:21" x14ac:dyDescent="0.3">
      <c r="A55" s="1">
        <v>54</v>
      </c>
      <c r="B55" s="1" t="s">
        <v>201</v>
      </c>
      <c r="C55" s="1">
        <v>301</v>
      </c>
      <c r="D55" s="1">
        <v>1</v>
      </c>
      <c r="E55" s="1" t="s">
        <v>198</v>
      </c>
      <c r="F55" s="1">
        <v>130042955</v>
      </c>
      <c r="G55" s="1" t="s">
        <v>72</v>
      </c>
      <c r="H55" s="1" t="s">
        <v>24</v>
      </c>
      <c r="I55" s="1">
        <v>0.16300000000000001</v>
      </c>
      <c r="J55" s="1" t="s">
        <v>25</v>
      </c>
      <c r="K55" s="1" t="s">
        <v>202</v>
      </c>
      <c r="L55" s="1" t="s">
        <v>200</v>
      </c>
      <c r="M55" s="1" t="s">
        <v>75</v>
      </c>
      <c r="N55" s="1" t="s">
        <v>596</v>
      </c>
      <c r="O55" s="1" t="s">
        <v>484</v>
      </c>
      <c r="P55" s="2">
        <v>1.2707052871323608</v>
      </c>
      <c r="Q55" s="2">
        <v>1.3026490057132871</v>
      </c>
      <c r="R55" s="2">
        <v>1.1585249108984705</v>
      </c>
      <c r="S55" s="1">
        <f t="shared" si="2"/>
        <v>1.2439597345813729</v>
      </c>
      <c r="T55" s="1">
        <f t="shared" si="1"/>
        <v>7.5693012309530947E-2</v>
      </c>
      <c r="U55" s="1" t="s">
        <v>561</v>
      </c>
    </row>
    <row r="56" spans="1:21" x14ac:dyDescent="0.3">
      <c r="A56" s="1">
        <v>55</v>
      </c>
      <c r="B56" s="1" t="s">
        <v>203</v>
      </c>
      <c r="C56" s="1">
        <v>301</v>
      </c>
      <c r="D56" s="1">
        <v>1</v>
      </c>
      <c r="E56" s="1" t="s">
        <v>204</v>
      </c>
      <c r="F56" s="1">
        <v>61961417</v>
      </c>
      <c r="G56" s="1" t="s">
        <v>15</v>
      </c>
      <c r="H56" s="1" t="s">
        <v>24</v>
      </c>
      <c r="I56" s="1">
        <v>0.85</v>
      </c>
      <c r="J56" s="1" t="s">
        <v>36</v>
      </c>
      <c r="K56" s="1" t="s">
        <v>205</v>
      </c>
      <c r="L56" s="1" t="s">
        <v>206</v>
      </c>
      <c r="M56" s="1" t="s">
        <v>173</v>
      </c>
      <c r="N56" s="1" t="s">
        <v>597</v>
      </c>
      <c r="O56" s="1" t="s">
        <v>485</v>
      </c>
      <c r="P56" s="2">
        <v>1.0311971813846865</v>
      </c>
      <c r="Q56" s="2">
        <v>0.99444007366089249</v>
      </c>
      <c r="R56" s="2">
        <v>1.0133968752075426</v>
      </c>
      <c r="S56" s="1">
        <f t="shared" si="2"/>
        <v>1.0130113767510405</v>
      </c>
      <c r="T56" s="1">
        <f t="shared" si="1"/>
        <v>1.8381585863293293E-2</v>
      </c>
      <c r="U56" s="1">
        <f>_xlfn.T.TEST(P56:R56,P57:R57,2,3)</f>
        <v>8.4795856366576977E-4</v>
      </c>
    </row>
    <row r="57" spans="1:21" x14ac:dyDescent="0.3">
      <c r="A57" s="1">
        <v>56</v>
      </c>
      <c r="B57" s="1" t="s">
        <v>207</v>
      </c>
      <c r="C57" s="1">
        <v>301</v>
      </c>
      <c r="D57" s="1">
        <v>1</v>
      </c>
      <c r="E57" s="1" t="s">
        <v>204</v>
      </c>
      <c r="F57" s="1">
        <v>61961417</v>
      </c>
      <c r="G57" s="1" t="s">
        <v>15</v>
      </c>
      <c r="H57" s="1" t="s">
        <v>24</v>
      </c>
      <c r="I57" s="1">
        <v>0.85</v>
      </c>
      <c r="J57" s="1" t="s">
        <v>36</v>
      </c>
      <c r="K57" s="1" t="s">
        <v>208</v>
      </c>
      <c r="L57" s="1" t="s">
        <v>206</v>
      </c>
      <c r="M57" s="1" t="s">
        <v>173</v>
      </c>
      <c r="N57" s="1" t="s">
        <v>597</v>
      </c>
      <c r="O57" s="1" t="s">
        <v>486</v>
      </c>
      <c r="P57" s="2">
        <v>1.3725790291688964</v>
      </c>
      <c r="Q57" s="2">
        <v>1.3729163401589679</v>
      </c>
      <c r="R57" s="2">
        <v>1.3711362341137086</v>
      </c>
      <c r="S57" s="1">
        <f t="shared" si="2"/>
        <v>1.3722105344805244</v>
      </c>
      <c r="T57" s="1">
        <f t="shared" si="1"/>
        <v>9.4553457610553431E-4</v>
      </c>
      <c r="U57" s="1" t="s">
        <v>561</v>
      </c>
    </row>
    <row r="58" spans="1:21" x14ac:dyDescent="0.3">
      <c r="A58" s="1">
        <v>57</v>
      </c>
      <c r="B58" s="1" t="s">
        <v>209</v>
      </c>
      <c r="C58" s="1">
        <v>301</v>
      </c>
      <c r="D58" s="1">
        <v>1</v>
      </c>
      <c r="E58" s="1" t="s">
        <v>210</v>
      </c>
      <c r="F58" s="1">
        <v>61964631</v>
      </c>
      <c r="G58" s="1" t="s">
        <v>14</v>
      </c>
      <c r="H58" s="1" t="s">
        <v>72</v>
      </c>
      <c r="I58" s="1">
        <v>6.4000000000000001E-2</v>
      </c>
      <c r="J58" s="1" t="s">
        <v>36</v>
      </c>
      <c r="K58" s="1" t="s">
        <v>211</v>
      </c>
      <c r="L58" s="1" t="s">
        <v>206</v>
      </c>
      <c r="M58" s="1" t="s">
        <v>173</v>
      </c>
      <c r="N58" s="1" t="s">
        <v>597</v>
      </c>
      <c r="O58" s="1" t="s">
        <v>487</v>
      </c>
      <c r="P58" s="2">
        <v>1.3431247496049328</v>
      </c>
      <c r="Q58" s="2">
        <v>1.4153114677718368</v>
      </c>
      <c r="R58" s="2">
        <v>1.4305492679758649</v>
      </c>
      <c r="S58" s="1">
        <f t="shared" si="2"/>
        <v>1.3963284951175448</v>
      </c>
      <c r="T58" s="1">
        <f t="shared" si="1"/>
        <v>4.6701461874255716E-2</v>
      </c>
      <c r="U58" s="1">
        <f>_xlfn.T.TEST(P58:R58,P59:R59,2,3)</f>
        <v>1.4018844752517563E-4</v>
      </c>
    </row>
    <row r="59" spans="1:21" x14ac:dyDescent="0.3">
      <c r="A59" s="1">
        <v>58</v>
      </c>
      <c r="B59" s="1" t="s">
        <v>212</v>
      </c>
      <c r="C59" s="1">
        <v>301</v>
      </c>
      <c r="D59" s="1">
        <v>1</v>
      </c>
      <c r="E59" s="1" t="s">
        <v>210</v>
      </c>
      <c r="F59" s="1">
        <v>61964631</v>
      </c>
      <c r="G59" s="1" t="s">
        <v>14</v>
      </c>
      <c r="H59" s="1" t="s">
        <v>72</v>
      </c>
      <c r="I59" s="1">
        <v>6.4000000000000001E-2</v>
      </c>
      <c r="J59" s="1" t="s">
        <v>36</v>
      </c>
      <c r="K59" s="1" t="s">
        <v>213</v>
      </c>
      <c r="L59" s="1" t="s">
        <v>206</v>
      </c>
      <c r="M59" s="1" t="s">
        <v>173</v>
      </c>
      <c r="N59" s="1" t="s">
        <v>597</v>
      </c>
      <c r="O59" s="1" t="s">
        <v>488</v>
      </c>
      <c r="P59" s="2">
        <v>0.74886462977850332</v>
      </c>
      <c r="Q59" s="2">
        <v>0.80759634423647764</v>
      </c>
      <c r="R59" s="2">
        <v>0.77508207644975513</v>
      </c>
      <c r="S59" s="1">
        <f t="shared" si="2"/>
        <v>0.77718101682157881</v>
      </c>
      <c r="T59" s="1">
        <f t="shared" si="1"/>
        <v>2.9422062025062257E-2</v>
      </c>
      <c r="U59" s="1" t="s">
        <v>561</v>
      </c>
    </row>
    <row r="60" spans="1:21" x14ac:dyDescent="0.3">
      <c r="A60" s="1">
        <v>59</v>
      </c>
      <c r="B60" s="1" t="s">
        <v>214</v>
      </c>
      <c r="C60" s="1">
        <v>384</v>
      </c>
      <c r="D60" s="1">
        <v>2</v>
      </c>
      <c r="E60" s="1" t="s">
        <v>215</v>
      </c>
      <c r="F60" s="1" t="s">
        <v>216</v>
      </c>
      <c r="G60" s="1" t="s">
        <v>35</v>
      </c>
      <c r="H60" s="1" t="s">
        <v>34</v>
      </c>
      <c r="I60" s="1" t="s">
        <v>572</v>
      </c>
      <c r="J60" s="1" t="s">
        <v>36</v>
      </c>
      <c r="K60" s="1" t="s">
        <v>217</v>
      </c>
      <c r="L60" s="1" t="s">
        <v>218</v>
      </c>
      <c r="M60" s="1" t="s">
        <v>147</v>
      </c>
      <c r="N60" s="1" t="s">
        <v>598</v>
      </c>
      <c r="O60" s="1" t="s">
        <v>489</v>
      </c>
      <c r="P60" s="2">
        <v>0.35857991329047001</v>
      </c>
      <c r="Q60" s="2">
        <v>0.37675298334214508</v>
      </c>
      <c r="R60" s="2">
        <v>0.40787165726068808</v>
      </c>
      <c r="S60" s="1">
        <f t="shared" si="2"/>
        <v>0.38106818463110104</v>
      </c>
      <c r="T60" s="1">
        <f t="shared" si="1"/>
        <v>2.4927589685517889E-2</v>
      </c>
      <c r="U60" s="1">
        <f>_xlfn.T.TEST(P60:R60,P61:R61,2,3)</f>
        <v>3.8904499397692104E-2</v>
      </c>
    </row>
    <row r="61" spans="1:21" x14ac:dyDescent="0.3">
      <c r="A61" s="1">
        <v>60</v>
      </c>
      <c r="B61" s="1" t="s">
        <v>219</v>
      </c>
      <c r="C61" s="1">
        <v>384</v>
      </c>
      <c r="D61" s="1">
        <v>2</v>
      </c>
      <c r="E61" s="1" t="s">
        <v>215</v>
      </c>
      <c r="F61" s="1" t="s">
        <v>216</v>
      </c>
      <c r="G61" s="1" t="s">
        <v>35</v>
      </c>
      <c r="H61" s="1" t="s">
        <v>34</v>
      </c>
      <c r="I61" s="1" t="s">
        <v>572</v>
      </c>
      <c r="J61" s="1" t="s">
        <v>36</v>
      </c>
      <c r="K61" s="1" t="s">
        <v>220</v>
      </c>
      <c r="L61" s="1" t="s">
        <v>218</v>
      </c>
      <c r="M61" s="1" t="s">
        <v>147</v>
      </c>
      <c r="N61" s="1" t="s">
        <v>598</v>
      </c>
      <c r="O61" s="1" t="s">
        <v>490</v>
      </c>
      <c r="P61" s="2">
        <v>0.30848597895189078</v>
      </c>
      <c r="Q61" s="2">
        <v>0.31584449217854044</v>
      </c>
      <c r="R61" s="2">
        <v>0.31381993240078682</v>
      </c>
      <c r="S61" s="1">
        <f t="shared" si="2"/>
        <v>0.31271680117707268</v>
      </c>
      <c r="T61" s="1">
        <f t="shared" si="1"/>
        <v>3.8012633556811434E-3</v>
      </c>
      <c r="U61" s="1" t="s">
        <v>561</v>
      </c>
    </row>
    <row r="62" spans="1:21" x14ac:dyDescent="0.3">
      <c r="A62" s="1">
        <v>61</v>
      </c>
      <c r="B62" s="1" t="s">
        <v>221</v>
      </c>
      <c r="C62" s="1">
        <v>497</v>
      </c>
      <c r="D62" s="1">
        <v>2</v>
      </c>
      <c r="E62" s="1" t="s">
        <v>222</v>
      </c>
      <c r="F62" s="1" t="s">
        <v>223</v>
      </c>
      <c r="G62" s="1" t="s">
        <v>34</v>
      </c>
      <c r="H62" s="1" t="s">
        <v>35</v>
      </c>
      <c r="I62" s="1" t="s">
        <v>573</v>
      </c>
      <c r="J62" s="1" t="s">
        <v>36</v>
      </c>
      <c r="K62" s="1" t="s">
        <v>224</v>
      </c>
      <c r="L62" s="1" t="s">
        <v>218</v>
      </c>
      <c r="M62" s="1" t="s">
        <v>147</v>
      </c>
      <c r="N62" s="1" t="s">
        <v>598</v>
      </c>
      <c r="O62" s="1" t="s">
        <v>491</v>
      </c>
      <c r="P62" s="2">
        <v>1.7073536661932402</v>
      </c>
      <c r="Q62" s="2">
        <v>1.7433927009581287</v>
      </c>
      <c r="R62" s="2">
        <v>1.700241859833316</v>
      </c>
      <c r="S62" s="1">
        <f t="shared" si="2"/>
        <v>1.7169960756615616</v>
      </c>
      <c r="T62" s="1">
        <f t="shared" si="1"/>
        <v>2.3135056034312682E-2</v>
      </c>
      <c r="U62" s="1">
        <f>_xlfn.T.TEST(P62:R62,P63:R63,2,3)</f>
        <v>7.5540000804558336E-5</v>
      </c>
    </row>
    <row r="63" spans="1:21" x14ac:dyDescent="0.3">
      <c r="A63" s="1">
        <v>62</v>
      </c>
      <c r="B63" s="1" t="s">
        <v>225</v>
      </c>
      <c r="C63" s="1">
        <v>497</v>
      </c>
      <c r="D63" s="1">
        <v>2</v>
      </c>
      <c r="E63" s="1" t="s">
        <v>222</v>
      </c>
      <c r="F63" s="1" t="s">
        <v>223</v>
      </c>
      <c r="G63" s="1" t="s">
        <v>34</v>
      </c>
      <c r="H63" s="1" t="s">
        <v>35</v>
      </c>
      <c r="I63" s="1" t="s">
        <v>573</v>
      </c>
      <c r="J63" s="1" t="s">
        <v>36</v>
      </c>
      <c r="K63" s="1" t="s">
        <v>226</v>
      </c>
      <c r="L63" s="1" t="s">
        <v>218</v>
      </c>
      <c r="M63" s="1" t="s">
        <v>147</v>
      </c>
      <c r="N63" s="1" t="s">
        <v>598</v>
      </c>
      <c r="O63" s="1" t="s">
        <v>492</v>
      </c>
      <c r="P63" s="2">
        <v>1.1249970814857089</v>
      </c>
      <c r="Q63" s="2">
        <v>1.1467517508367404</v>
      </c>
      <c r="R63" s="2">
        <v>1.0742216556585336</v>
      </c>
      <c r="S63" s="1">
        <f t="shared" si="2"/>
        <v>1.1153234959936611</v>
      </c>
      <c r="T63" s="1">
        <f t="shared" si="1"/>
        <v>3.7220120484005775E-2</v>
      </c>
      <c r="U63" s="1" t="s">
        <v>561</v>
      </c>
    </row>
    <row r="64" spans="1:21" x14ac:dyDescent="0.3">
      <c r="A64" s="1">
        <v>63</v>
      </c>
      <c r="B64" s="1" t="s">
        <v>227</v>
      </c>
      <c r="C64" s="1">
        <v>301</v>
      </c>
      <c r="D64" s="1">
        <v>1</v>
      </c>
      <c r="E64" s="1" t="s">
        <v>228</v>
      </c>
      <c r="F64" s="1">
        <v>124606986</v>
      </c>
      <c r="G64" s="1" t="s">
        <v>24</v>
      </c>
      <c r="H64" s="1" t="s">
        <v>15</v>
      </c>
      <c r="I64" s="1">
        <v>5.6000000000000001E-2</v>
      </c>
      <c r="J64" s="1" t="s">
        <v>36</v>
      </c>
      <c r="K64" s="1" t="s">
        <v>229</v>
      </c>
      <c r="L64" s="1" t="s">
        <v>218</v>
      </c>
      <c r="M64" s="1" t="s">
        <v>147</v>
      </c>
      <c r="N64" s="1" t="s">
        <v>598</v>
      </c>
      <c r="O64" s="1" t="s">
        <v>493</v>
      </c>
      <c r="P64" s="2">
        <v>0.97049869045176096</v>
      </c>
      <c r="Q64" s="2">
        <v>1.0521153739696167</v>
      </c>
      <c r="R64" s="2">
        <v>1.0236108889095046</v>
      </c>
      <c r="S64" s="1">
        <f t="shared" si="2"/>
        <v>1.0154083177769608</v>
      </c>
      <c r="T64" s="1">
        <f t="shared" si="1"/>
        <v>4.1422003657498131E-2</v>
      </c>
      <c r="U64" s="1">
        <f>_xlfn.T.TEST(P64:R64,P65:R65,2,3)</f>
        <v>9.9692633505967156E-3</v>
      </c>
    </row>
    <row r="65" spans="1:21" x14ac:dyDescent="0.3">
      <c r="A65" s="1">
        <v>64</v>
      </c>
      <c r="B65" s="1" t="s">
        <v>230</v>
      </c>
      <c r="C65" s="1">
        <v>301</v>
      </c>
      <c r="D65" s="1">
        <v>1</v>
      </c>
      <c r="E65" s="1" t="s">
        <v>228</v>
      </c>
      <c r="F65" s="1">
        <v>124606986</v>
      </c>
      <c r="G65" s="1" t="s">
        <v>24</v>
      </c>
      <c r="H65" s="1" t="s">
        <v>15</v>
      </c>
      <c r="I65" s="1">
        <v>5.6000000000000001E-2</v>
      </c>
      <c r="J65" s="1" t="s">
        <v>36</v>
      </c>
      <c r="K65" s="1" t="s">
        <v>231</v>
      </c>
      <c r="L65" s="1" t="s">
        <v>218</v>
      </c>
      <c r="M65" s="1" t="s">
        <v>147</v>
      </c>
      <c r="N65" s="1" t="s">
        <v>598</v>
      </c>
      <c r="O65" s="1" t="s">
        <v>494</v>
      </c>
      <c r="P65" s="2">
        <v>0.83269116659569087</v>
      </c>
      <c r="Q65" s="2">
        <v>0.83349345847857803</v>
      </c>
      <c r="R65" s="2">
        <v>0.81034825232229446</v>
      </c>
      <c r="S65" s="1">
        <f t="shared" si="2"/>
        <v>0.82551095913218775</v>
      </c>
      <c r="T65" s="1">
        <f t="shared" si="1"/>
        <v>1.3137415134585105E-2</v>
      </c>
      <c r="U65" s="1" t="s">
        <v>561</v>
      </c>
    </row>
    <row r="66" spans="1:21" x14ac:dyDescent="0.3">
      <c r="A66" s="1">
        <v>65</v>
      </c>
      <c r="B66" s="1" t="s">
        <v>232</v>
      </c>
      <c r="C66" s="1">
        <v>301</v>
      </c>
      <c r="D66" s="1">
        <v>1</v>
      </c>
      <c r="E66" s="1" t="s">
        <v>233</v>
      </c>
      <c r="F66" s="1">
        <v>57571888</v>
      </c>
      <c r="G66" s="1" t="s">
        <v>24</v>
      </c>
      <c r="H66" s="1" t="s">
        <v>14</v>
      </c>
      <c r="I66" s="1">
        <v>0.14000000000000001</v>
      </c>
      <c r="J66" s="1" t="s">
        <v>44</v>
      </c>
      <c r="K66" s="1" t="s">
        <v>234</v>
      </c>
      <c r="L66" s="1" t="s">
        <v>235</v>
      </c>
      <c r="M66" s="1" t="s">
        <v>75</v>
      </c>
      <c r="N66" s="1" t="s">
        <v>599</v>
      </c>
      <c r="O66" s="1" t="s">
        <v>495</v>
      </c>
      <c r="P66" s="2">
        <v>1.7196666708885535</v>
      </c>
      <c r="Q66" s="2">
        <v>1.6388439137473434</v>
      </c>
      <c r="R66" s="2">
        <v>1.6863780475299812</v>
      </c>
      <c r="S66" s="1">
        <f t="shared" si="2"/>
        <v>1.6816295440552926</v>
      </c>
      <c r="T66" s="1">
        <f t="shared" si="1"/>
        <v>4.0620077940762306E-2</v>
      </c>
      <c r="U66" s="1">
        <f>_xlfn.T.TEST(P66:R66,P67:R67,2,3)</f>
        <v>1.4788644571710541E-3</v>
      </c>
    </row>
    <row r="67" spans="1:21" x14ac:dyDescent="0.3">
      <c r="A67" s="1">
        <v>66</v>
      </c>
      <c r="B67" s="1" t="s">
        <v>236</v>
      </c>
      <c r="C67" s="1">
        <v>301</v>
      </c>
      <c r="D67" s="1">
        <v>1</v>
      </c>
      <c r="E67" s="1" t="s">
        <v>233</v>
      </c>
      <c r="F67" s="1">
        <v>57571888</v>
      </c>
      <c r="G67" s="1" t="s">
        <v>24</v>
      </c>
      <c r="H67" s="1" t="s">
        <v>14</v>
      </c>
      <c r="I67" s="1">
        <v>0.14000000000000001</v>
      </c>
      <c r="J67" s="1" t="s">
        <v>44</v>
      </c>
      <c r="K67" s="1" t="s">
        <v>237</v>
      </c>
      <c r="L67" s="1" t="s">
        <v>235</v>
      </c>
      <c r="M67" s="1" t="s">
        <v>75</v>
      </c>
      <c r="N67" s="1" t="s">
        <v>599</v>
      </c>
      <c r="O67" s="1" t="s">
        <v>496</v>
      </c>
      <c r="P67" s="2">
        <v>1.4223019640118029</v>
      </c>
      <c r="Q67" s="2">
        <v>1.3544039187351871</v>
      </c>
      <c r="R67" s="2">
        <v>1.4400700991722792</v>
      </c>
      <c r="S67" s="1">
        <f t="shared" si="2"/>
        <v>1.4055919939730899</v>
      </c>
      <c r="T67" s="1">
        <f t="shared" ref="T67:T130" si="3">STDEV(P67:R67)</f>
        <v>4.5211623966532395E-2</v>
      </c>
      <c r="U67" s="1" t="s">
        <v>561</v>
      </c>
    </row>
    <row r="68" spans="1:21" x14ac:dyDescent="0.3">
      <c r="A68" s="1">
        <v>67</v>
      </c>
      <c r="B68" s="1" t="s">
        <v>238</v>
      </c>
      <c r="C68" s="1">
        <v>301</v>
      </c>
      <c r="D68" s="1">
        <v>1</v>
      </c>
      <c r="E68" s="1" t="s">
        <v>239</v>
      </c>
      <c r="F68" s="1">
        <v>128568530</v>
      </c>
      <c r="G68" s="1" t="s">
        <v>14</v>
      </c>
      <c r="H68" s="1" t="s">
        <v>72</v>
      </c>
      <c r="I68" s="1">
        <v>0.115</v>
      </c>
      <c r="J68" s="1" t="s">
        <v>170</v>
      </c>
      <c r="K68" s="1" t="s">
        <v>240</v>
      </c>
      <c r="L68" s="1" t="s">
        <v>241</v>
      </c>
      <c r="M68" s="1" t="s">
        <v>173</v>
      </c>
      <c r="N68" s="1" t="s">
        <v>600</v>
      </c>
      <c r="O68" s="1" t="s">
        <v>497</v>
      </c>
      <c r="P68" s="2">
        <v>0.89988046919408082</v>
      </c>
      <c r="Q68" s="2">
        <v>0.91561825234419836</v>
      </c>
      <c r="R68" s="2">
        <v>0.91653066244489811</v>
      </c>
      <c r="S68" s="1">
        <f t="shared" si="2"/>
        <v>0.91067646132772584</v>
      </c>
      <c r="T68" s="1">
        <f t="shared" si="3"/>
        <v>9.3607268767044657E-3</v>
      </c>
      <c r="U68" s="1">
        <f>_xlfn.T.TEST(P68:R68,P69:R69,2,3)</f>
        <v>1.7221093506607551E-3</v>
      </c>
    </row>
    <row r="69" spans="1:21" x14ac:dyDescent="0.3">
      <c r="A69" s="1">
        <v>68</v>
      </c>
      <c r="B69" s="1" t="s">
        <v>242</v>
      </c>
      <c r="C69" s="1">
        <v>301</v>
      </c>
      <c r="D69" s="1">
        <v>1</v>
      </c>
      <c r="E69" s="1" t="s">
        <v>239</v>
      </c>
      <c r="F69" s="1">
        <v>128568530</v>
      </c>
      <c r="G69" s="1" t="s">
        <v>14</v>
      </c>
      <c r="H69" s="1" t="s">
        <v>72</v>
      </c>
      <c r="I69" s="1">
        <v>0.115</v>
      </c>
      <c r="J69" s="1" t="s">
        <v>170</v>
      </c>
      <c r="K69" s="1" t="s">
        <v>243</v>
      </c>
      <c r="L69" s="1" t="s">
        <v>241</v>
      </c>
      <c r="M69" s="1" t="s">
        <v>173</v>
      </c>
      <c r="N69" s="1" t="s">
        <v>600</v>
      </c>
      <c r="O69" s="1" t="s">
        <v>498</v>
      </c>
      <c r="P69" s="2">
        <v>1.1032804072494222</v>
      </c>
      <c r="Q69" s="2">
        <v>1.1522088428661614</v>
      </c>
      <c r="R69" s="2">
        <v>1.1380328964577873</v>
      </c>
      <c r="S69" s="1">
        <f t="shared" si="2"/>
        <v>1.1311740488577904</v>
      </c>
      <c r="T69" s="1">
        <f t="shared" si="3"/>
        <v>2.517500339176415E-2</v>
      </c>
      <c r="U69" s="1" t="s">
        <v>561</v>
      </c>
    </row>
    <row r="70" spans="1:21" x14ac:dyDescent="0.3">
      <c r="A70" s="1">
        <v>69</v>
      </c>
      <c r="B70" s="1" t="s">
        <v>244</v>
      </c>
      <c r="C70" s="1">
        <v>301</v>
      </c>
      <c r="D70" s="1">
        <v>1</v>
      </c>
      <c r="E70" s="1" t="s">
        <v>245</v>
      </c>
      <c r="F70" s="1">
        <v>93590965</v>
      </c>
      <c r="G70" s="1" t="s">
        <v>15</v>
      </c>
      <c r="H70" s="1" t="s">
        <v>24</v>
      </c>
      <c r="I70" s="1">
        <v>0.48299999999999998</v>
      </c>
      <c r="J70" s="1" t="s">
        <v>36</v>
      </c>
      <c r="K70" s="1" t="s">
        <v>246</v>
      </c>
      <c r="L70" s="1" t="s">
        <v>247</v>
      </c>
      <c r="M70" s="1" t="s">
        <v>75</v>
      </c>
      <c r="N70" s="1" t="s">
        <v>601</v>
      </c>
      <c r="O70" s="1" t="s">
        <v>499</v>
      </c>
      <c r="P70" s="2">
        <v>0.31260918433316964</v>
      </c>
      <c r="Q70" s="2">
        <v>0.33460108742093053</v>
      </c>
      <c r="R70" s="2">
        <v>0.33820370983660403</v>
      </c>
      <c r="S70" s="1">
        <f t="shared" si="2"/>
        <v>0.32847132719690136</v>
      </c>
      <c r="T70" s="1">
        <f t="shared" si="3"/>
        <v>1.385461671211281E-2</v>
      </c>
      <c r="U70" s="1">
        <f>_xlfn.T.TEST(P70:R70,P71:R71,2,3)</f>
        <v>3.577337663318074E-2</v>
      </c>
    </row>
    <row r="71" spans="1:21" x14ac:dyDescent="0.3">
      <c r="A71" s="1">
        <v>70</v>
      </c>
      <c r="B71" s="1" t="s">
        <v>248</v>
      </c>
      <c r="C71" s="1">
        <v>301</v>
      </c>
      <c r="D71" s="1">
        <v>1</v>
      </c>
      <c r="E71" s="1" t="s">
        <v>245</v>
      </c>
      <c r="F71" s="1">
        <v>93590965</v>
      </c>
      <c r="G71" s="1" t="s">
        <v>15</v>
      </c>
      <c r="H71" s="1" t="s">
        <v>24</v>
      </c>
      <c r="I71" s="1">
        <v>0.48299999999999998</v>
      </c>
      <c r="J71" s="1" t="s">
        <v>36</v>
      </c>
      <c r="K71" s="1" t="s">
        <v>249</v>
      </c>
      <c r="L71" s="1" t="s">
        <v>247</v>
      </c>
      <c r="M71" s="1" t="s">
        <v>75</v>
      </c>
      <c r="N71" s="1" t="s">
        <v>601</v>
      </c>
      <c r="O71" s="1" t="s">
        <v>500</v>
      </c>
      <c r="P71" s="2">
        <v>0.29800528075148497</v>
      </c>
      <c r="Q71" s="2">
        <v>0.27792386263838259</v>
      </c>
      <c r="R71" s="2">
        <v>0.30423746043038047</v>
      </c>
      <c r="S71" s="1">
        <f t="shared" si="2"/>
        <v>0.29338886794008268</v>
      </c>
      <c r="T71" s="1">
        <f t="shared" si="3"/>
        <v>1.3750811162390323E-2</v>
      </c>
      <c r="U71" s="1" t="s">
        <v>561</v>
      </c>
    </row>
    <row r="72" spans="1:21" x14ac:dyDescent="0.3">
      <c r="A72" s="1">
        <v>71</v>
      </c>
      <c r="B72" s="1" t="s">
        <v>250</v>
      </c>
      <c r="C72" s="1">
        <v>301</v>
      </c>
      <c r="D72" s="1">
        <v>1</v>
      </c>
      <c r="E72" s="1" t="s">
        <v>251</v>
      </c>
      <c r="F72" s="1">
        <v>96192843</v>
      </c>
      <c r="G72" s="1" t="s">
        <v>14</v>
      </c>
      <c r="H72" s="1" t="s">
        <v>72</v>
      </c>
      <c r="I72" s="1">
        <v>0.215</v>
      </c>
      <c r="J72" s="1" t="s">
        <v>36</v>
      </c>
      <c r="K72" s="1" t="s">
        <v>252</v>
      </c>
      <c r="L72" s="1" t="s">
        <v>253</v>
      </c>
      <c r="M72" s="1" t="s">
        <v>188</v>
      </c>
      <c r="N72" s="1" t="s">
        <v>602</v>
      </c>
      <c r="O72" s="1" t="s">
        <v>501</v>
      </c>
      <c r="P72" s="2">
        <v>0.6262700201778445</v>
      </c>
      <c r="Q72" s="2">
        <v>0.57746257734056983</v>
      </c>
      <c r="R72" s="2">
        <v>0.62438501490899978</v>
      </c>
      <c r="S72" s="1">
        <f t="shared" si="2"/>
        <v>0.60937253747580467</v>
      </c>
      <c r="T72" s="1">
        <f t="shared" si="3"/>
        <v>2.765090374816169E-2</v>
      </c>
      <c r="U72" s="1">
        <f>_xlfn.T.TEST(P72:R72,P73:R73,2,3)</f>
        <v>1.1658036312259676E-4</v>
      </c>
    </row>
    <row r="73" spans="1:21" x14ac:dyDescent="0.3">
      <c r="A73" s="1">
        <v>72</v>
      </c>
      <c r="B73" s="1" t="s">
        <v>254</v>
      </c>
      <c r="C73" s="1">
        <v>301</v>
      </c>
      <c r="D73" s="1">
        <v>1</v>
      </c>
      <c r="E73" s="1" t="s">
        <v>251</v>
      </c>
      <c r="F73" s="1">
        <v>96192843</v>
      </c>
      <c r="G73" s="1" t="s">
        <v>14</v>
      </c>
      <c r="H73" s="1" t="s">
        <v>72</v>
      </c>
      <c r="I73" s="1">
        <v>0.215</v>
      </c>
      <c r="J73" s="1" t="s">
        <v>36</v>
      </c>
      <c r="K73" s="1" t="s">
        <v>255</v>
      </c>
      <c r="L73" s="1" t="s">
        <v>253</v>
      </c>
      <c r="M73" s="1" t="s">
        <v>188</v>
      </c>
      <c r="N73" s="1" t="s">
        <v>602</v>
      </c>
      <c r="O73" s="1" t="s">
        <v>502</v>
      </c>
      <c r="P73" s="2">
        <v>1.0587604618539921</v>
      </c>
      <c r="Q73" s="2">
        <v>1.0835400672722306</v>
      </c>
      <c r="R73" s="2">
        <v>1.1340096908295947</v>
      </c>
      <c r="S73" s="1">
        <f t="shared" ref="S73:S131" si="4">AVERAGE(P73:R73)</f>
        <v>1.0921034066519391</v>
      </c>
      <c r="T73" s="1">
        <f t="shared" si="3"/>
        <v>3.8348529324534954E-2</v>
      </c>
      <c r="U73" s="1" t="s">
        <v>561</v>
      </c>
    </row>
    <row r="74" spans="1:21" x14ac:dyDescent="0.3">
      <c r="A74" s="1">
        <v>73</v>
      </c>
      <c r="B74" s="1" t="s">
        <v>256</v>
      </c>
      <c r="C74" s="1">
        <v>301</v>
      </c>
      <c r="D74" s="1">
        <v>1</v>
      </c>
      <c r="E74" s="1" t="s">
        <v>257</v>
      </c>
      <c r="F74" s="1">
        <v>96198310</v>
      </c>
      <c r="G74" s="1" t="s">
        <v>14</v>
      </c>
      <c r="H74" s="1" t="s">
        <v>15</v>
      </c>
      <c r="I74" s="1">
        <v>0.123</v>
      </c>
      <c r="J74" s="1" t="s">
        <v>36</v>
      </c>
      <c r="K74" s="1" t="s">
        <v>258</v>
      </c>
      <c r="L74" s="1" t="s">
        <v>259</v>
      </c>
      <c r="M74" s="1" t="s">
        <v>39</v>
      </c>
      <c r="N74" s="1" t="s">
        <v>602</v>
      </c>
      <c r="O74" s="1" t="s">
        <v>503</v>
      </c>
      <c r="P74" s="2">
        <v>0.92749059440410486</v>
      </c>
      <c r="Q74" s="2">
        <v>0.93397099077685075</v>
      </c>
      <c r="R74" s="2">
        <v>0.93222190873314281</v>
      </c>
      <c r="S74" s="1">
        <f t="shared" si="4"/>
        <v>0.93122783130469944</v>
      </c>
      <c r="T74" s="1">
        <f t="shared" si="3"/>
        <v>3.3526149103766611E-3</v>
      </c>
      <c r="U74" s="1">
        <f>_xlfn.T.TEST(P74:R74,P75:R75,2,3)</f>
        <v>6.9455884723428818E-3</v>
      </c>
    </row>
    <row r="75" spans="1:21" x14ac:dyDescent="0.3">
      <c r="A75" s="1">
        <v>74</v>
      </c>
      <c r="B75" s="1" t="s">
        <v>260</v>
      </c>
      <c r="C75" s="1">
        <v>301</v>
      </c>
      <c r="D75" s="1">
        <v>1</v>
      </c>
      <c r="E75" s="1" t="s">
        <v>257</v>
      </c>
      <c r="F75" s="1">
        <v>96198310</v>
      </c>
      <c r="G75" s="1" t="s">
        <v>14</v>
      </c>
      <c r="H75" s="1" t="s">
        <v>15</v>
      </c>
      <c r="I75" s="1">
        <v>0.123</v>
      </c>
      <c r="J75" s="1" t="s">
        <v>36</v>
      </c>
      <c r="K75" s="1" t="s">
        <v>261</v>
      </c>
      <c r="L75" s="1" t="s">
        <v>259</v>
      </c>
      <c r="M75" s="1" t="s">
        <v>39</v>
      </c>
      <c r="N75" s="1" t="s">
        <v>602</v>
      </c>
      <c r="O75" s="1" t="s">
        <v>504</v>
      </c>
      <c r="P75" s="2">
        <v>0.71573958900478696</v>
      </c>
      <c r="Q75" s="2">
        <v>0.75019732000119443</v>
      </c>
      <c r="R75" s="2">
        <v>0.68602619745571147</v>
      </c>
      <c r="S75" s="1">
        <f t="shared" si="4"/>
        <v>0.71732103548723092</v>
      </c>
      <c r="T75" s="1">
        <f t="shared" si="3"/>
        <v>3.2114778092328052E-2</v>
      </c>
      <c r="U75" s="1" t="s">
        <v>561</v>
      </c>
    </row>
    <row r="76" spans="1:21" x14ac:dyDescent="0.3">
      <c r="A76" s="1">
        <v>75</v>
      </c>
      <c r="B76" s="1" t="s">
        <v>262</v>
      </c>
      <c r="C76" s="1">
        <v>301</v>
      </c>
      <c r="D76" s="1">
        <v>1</v>
      </c>
      <c r="E76" s="1" t="s">
        <v>263</v>
      </c>
      <c r="F76" s="1">
        <v>96204171</v>
      </c>
      <c r="G76" s="1" t="s">
        <v>72</v>
      </c>
      <c r="H76" s="1" t="s">
        <v>24</v>
      </c>
      <c r="I76" s="1">
        <v>9.2999999999999999E-2</v>
      </c>
      <c r="J76" s="1" t="s">
        <v>36</v>
      </c>
      <c r="K76" s="1" t="s">
        <v>264</v>
      </c>
      <c r="L76" s="1" t="s">
        <v>259</v>
      </c>
      <c r="M76" s="1" t="s">
        <v>19</v>
      </c>
      <c r="N76" s="1" t="s">
        <v>602</v>
      </c>
      <c r="O76" s="1" t="s">
        <v>505</v>
      </c>
      <c r="P76" s="2">
        <v>0.39015938797024197</v>
      </c>
      <c r="Q76" s="2">
        <v>0.3907517188115826</v>
      </c>
      <c r="R76" s="2">
        <v>0.36186775285819128</v>
      </c>
      <c r="S76" s="1">
        <f t="shared" si="4"/>
        <v>0.38092628654667199</v>
      </c>
      <c r="T76" s="1">
        <f t="shared" si="3"/>
        <v>1.6507831284654422E-2</v>
      </c>
      <c r="U76" s="1">
        <f>_xlfn.T.TEST(P76:R76,P77:R77,2,3)</f>
        <v>9.3571334658142113E-4</v>
      </c>
    </row>
    <row r="77" spans="1:21" x14ac:dyDescent="0.3">
      <c r="A77" s="1">
        <v>76</v>
      </c>
      <c r="B77" s="1" t="s">
        <v>265</v>
      </c>
      <c r="C77" s="1">
        <v>301</v>
      </c>
      <c r="D77" s="1">
        <v>1</v>
      </c>
      <c r="E77" s="1" t="s">
        <v>263</v>
      </c>
      <c r="F77" s="1">
        <v>96204171</v>
      </c>
      <c r="G77" s="1" t="s">
        <v>72</v>
      </c>
      <c r="H77" s="1" t="s">
        <v>24</v>
      </c>
      <c r="I77" s="1">
        <v>9.2999999999999999E-2</v>
      </c>
      <c r="J77" s="1" t="s">
        <v>36</v>
      </c>
      <c r="K77" s="1" t="s">
        <v>266</v>
      </c>
      <c r="L77" s="1" t="s">
        <v>259</v>
      </c>
      <c r="M77" s="1" t="s">
        <v>19</v>
      </c>
      <c r="N77" s="1" t="s">
        <v>602</v>
      </c>
      <c r="O77" s="1" t="s">
        <v>506</v>
      </c>
      <c r="P77" s="2">
        <v>0.61356452601594114</v>
      </c>
      <c r="Q77" s="2">
        <v>0.58237818253130713</v>
      </c>
      <c r="R77" s="2">
        <v>0.56006987077852033</v>
      </c>
      <c r="S77" s="1">
        <f t="shared" si="4"/>
        <v>0.58533752644192283</v>
      </c>
      <c r="T77" s="1">
        <f t="shared" si="3"/>
        <v>2.6869831075550181E-2</v>
      </c>
      <c r="U77" s="1" t="s">
        <v>561</v>
      </c>
    </row>
    <row r="78" spans="1:21" x14ac:dyDescent="0.3">
      <c r="A78" s="1">
        <v>77</v>
      </c>
      <c r="B78" s="1" t="s">
        <v>267</v>
      </c>
      <c r="C78" s="1">
        <v>301</v>
      </c>
      <c r="D78" s="1">
        <v>1</v>
      </c>
      <c r="E78" s="1" t="s">
        <v>268</v>
      </c>
      <c r="F78" s="1">
        <v>96208442</v>
      </c>
      <c r="G78" s="1" t="s">
        <v>72</v>
      </c>
      <c r="H78" s="1" t="s">
        <v>15</v>
      </c>
      <c r="I78" s="1">
        <v>0.13200000000000001</v>
      </c>
      <c r="J78" s="1" t="s">
        <v>36</v>
      </c>
      <c r="K78" s="1" t="s">
        <v>269</v>
      </c>
      <c r="L78" s="1" t="s">
        <v>259</v>
      </c>
      <c r="M78" s="1" t="s">
        <v>39</v>
      </c>
      <c r="N78" s="1" t="s">
        <v>602</v>
      </c>
      <c r="O78" s="1" t="s">
        <v>507</v>
      </c>
      <c r="P78" s="2">
        <v>0.78758412598156957</v>
      </c>
      <c r="Q78" s="2">
        <v>0.82528841049374102</v>
      </c>
      <c r="R78" s="2">
        <v>0.76900061349521798</v>
      </c>
      <c r="S78" s="1">
        <f t="shared" si="4"/>
        <v>0.79395771665684289</v>
      </c>
      <c r="T78" s="1">
        <f t="shared" si="3"/>
        <v>2.868006304575851E-2</v>
      </c>
      <c r="U78" s="1">
        <f>_xlfn.T.TEST(P78:R78,P79:R79,2,3)</f>
        <v>2.1425855439818125E-3</v>
      </c>
    </row>
    <row r="79" spans="1:21" x14ac:dyDescent="0.3">
      <c r="A79" s="1">
        <v>78</v>
      </c>
      <c r="B79" s="1" t="s">
        <v>270</v>
      </c>
      <c r="C79" s="1">
        <v>301</v>
      </c>
      <c r="D79" s="1">
        <v>1</v>
      </c>
      <c r="E79" s="1" t="s">
        <v>268</v>
      </c>
      <c r="F79" s="1">
        <v>96208442</v>
      </c>
      <c r="G79" s="1" t="s">
        <v>72</v>
      </c>
      <c r="H79" s="1" t="s">
        <v>15</v>
      </c>
      <c r="I79" s="1">
        <v>0.13200000000000001</v>
      </c>
      <c r="J79" s="1" t="s">
        <v>36</v>
      </c>
      <c r="K79" s="1" t="s">
        <v>271</v>
      </c>
      <c r="L79" s="1" t="s">
        <v>259</v>
      </c>
      <c r="M79" s="1" t="s">
        <v>39</v>
      </c>
      <c r="N79" s="1" t="s">
        <v>602</v>
      </c>
      <c r="O79" s="1" t="s">
        <v>508</v>
      </c>
      <c r="P79" s="2">
        <v>0.55938134636921411</v>
      </c>
      <c r="Q79" s="2">
        <v>0.57215531454326551</v>
      </c>
      <c r="R79" s="2">
        <v>0.58178756637206153</v>
      </c>
      <c r="S79" s="1">
        <f t="shared" si="4"/>
        <v>0.57110807576151368</v>
      </c>
      <c r="T79" s="1">
        <f t="shared" si="3"/>
        <v>1.1239760028732986E-2</v>
      </c>
      <c r="U79" s="1" t="s">
        <v>561</v>
      </c>
    </row>
    <row r="80" spans="1:21" x14ac:dyDescent="0.3">
      <c r="A80" s="1">
        <v>79</v>
      </c>
      <c r="B80" s="1" t="s">
        <v>272</v>
      </c>
      <c r="C80" s="1">
        <v>301</v>
      </c>
      <c r="D80" s="1">
        <v>1</v>
      </c>
      <c r="E80" s="1" t="s">
        <v>273</v>
      </c>
      <c r="F80" s="1">
        <v>96213111</v>
      </c>
      <c r="G80" s="1" t="s">
        <v>14</v>
      </c>
      <c r="H80" s="1" t="s">
        <v>72</v>
      </c>
      <c r="I80" s="1">
        <v>0.13400000000000001</v>
      </c>
      <c r="J80" s="1" t="s">
        <v>36</v>
      </c>
      <c r="K80" s="1" t="s">
        <v>274</v>
      </c>
      <c r="L80" s="1" t="s">
        <v>275</v>
      </c>
      <c r="M80" s="1" t="s">
        <v>173</v>
      </c>
      <c r="N80" s="1" t="s">
        <v>602</v>
      </c>
      <c r="O80" s="1" t="s">
        <v>509</v>
      </c>
      <c r="P80" s="2">
        <v>2.4160060195601476</v>
      </c>
      <c r="Q80" s="2">
        <v>2.4033915639867405</v>
      </c>
      <c r="R80" s="2">
        <v>2.4362693574765855</v>
      </c>
      <c r="S80" s="1">
        <f t="shared" si="4"/>
        <v>2.4185556470078242</v>
      </c>
      <c r="T80" s="1">
        <f t="shared" si="3"/>
        <v>1.6586523936065807E-2</v>
      </c>
      <c r="U80" s="1">
        <f>_xlfn.T.TEST(P80:R80,P81:R81,2,3)</f>
        <v>0.10493242964947251</v>
      </c>
    </row>
    <row r="81" spans="1:21" x14ac:dyDescent="0.3">
      <c r="A81" s="1">
        <v>80</v>
      </c>
      <c r="B81" s="1" t="s">
        <v>276</v>
      </c>
      <c r="C81" s="1">
        <v>301</v>
      </c>
      <c r="D81" s="1">
        <v>1</v>
      </c>
      <c r="E81" s="1" t="s">
        <v>273</v>
      </c>
      <c r="F81" s="1">
        <v>96213111</v>
      </c>
      <c r="G81" s="1" t="s">
        <v>14</v>
      </c>
      <c r="H81" s="1" t="s">
        <v>72</v>
      </c>
      <c r="I81" s="1">
        <v>0.13400000000000001</v>
      </c>
      <c r="J81" s="1" t="s">
        <v>36</v>
      </c>
      <c r="K81" s="1" t="s">
        <v>277</v>
      </c>
      <c r="L81" s="1" t="s">
        <v>275</v>
      </c>
      <c r="M81" s="1" t="s">
        <v>173</v>
      </c>
      <c r="N81" s="1" t="s">
        <v>602</v>
      </c>
      <c r="O81" s="1" t="s">
        <v>510</v>
      </c>
      <c r="P81" s="2">
        <v>2.8115638238306122</v>
      </c>
      <c r="Q81" s="2">
        <v>2.5025572262312976</v>
      </c>
      <c r="R81" s="2">
        <v>2.7079734077515702</v>
      </c>
      <c r="S81" s="1">
        <f t="shared" si="4"/>
        <v>2.6740314859378267</v>
      </c>
      <c r="T81" s="1">
        <f t="shared" si="3"/>
        <v>0.15727463203671435</v>
      </c>
      <c r="U81" s="1" t="s">
        <v>561</v>
      </c>
    </row>
    <row r="82" spans="1:21" x14ac:dyDescent="0.3">
      <c r="A82" s="1">
        <v>81</v>
      </c>
      <c r="B82" s="1" t="s">
        <v>278</v>
      </c>
      <c r="C82" s="1">
        <v>301</v>
      </c>
      <c r="D82" s="1">
        <v>1</v>
      </c>
      <c r="E82" s="1" t="s">
        <v>279</v>
      </c>
      <c r="F82" s="1">
        <v>103928436</v>
      </c>
      <c r="G82" s="1" t="s">
        <v>24</v>
      </c>
      <c r="H82" s="1" t="s">
        <v>15</v>
      </c>
      <c r="I82" s="1">
        <v>0.29899999999999999</v>
      </c>
      <c r="J82" s="1" t="s">
        <v>16</v>
      </c>
      <c r="K82" s="1" t="s">
        <v>280</v>
      </c>
      <c r="L82" s="1" t="s">
        <v>281</v>
      </c>
      <c r="M82" s="1" t="s">
        <v>54</v>
      </c>
      <c r="N82" s="1" t="s">
        <v>603</v>
      </c>
      <c r="O82" s="1" t="s">
        <v>511</v>
      </c>
      <c r="P82" s="2">
        <v>0.13926285028215407</v>
      </c>
      <c r="Q82" s="2">
        <v>0.93936512115457482</v>
      </c>
      <c r="R82" s="2">
        <v>0.95296798220316936</v>
      </c>
      <c r="S82" s="1">
        <f t="shared" si="4"/>
        <v>0.67719865121329936</v>
      </c>
      <c r="T82" s="1">
        <f t="shared" si="3"/>
        <v>0.46591571544620775</v>
      </c>
      <c r="U82" s="1">
        <f>_xlfn.T.TEST(P82:R82,P83:R83,2,3)</f>
        <v>0.40984359192215108</v>
      </c>
    </row>
    <row r="83" spans="1:21" x14ac:dyDescent="0.3">
      <c r="A83" s="1">
        <v>82</v>
      </c>
      <c r="B83" s="1" t="s">
        <v>282</v>
      </c>
      <c r="C83" s="1">
        <v>301</v>
      </c>
      <c r="D83" s="1">
        <v>1</v>
      </c>
      <c r="E83" s="1" t="s">
        <v>279</v>
      </c>
      <c r="F83" s="1">
        <v>103928436</v>
      </c>
      <c r="G83" s="1" t="s">
        <v>24</v>
      </c>
      <c r="H83" s="1" t="s">
        <v>15</v>
      </c>
      <c r="I83" s="1">
        <v>0.29899999999999999</v>
      </c>
      <c r="J83" s="1" t="s">
        <v>16</v>
      </c>
      <c r="K83" s="1" t="s">
        <v>283</v>
      </c>
      <c r="L83" s="1" t="s">
        <v>281</v>
      </c>
      <c r="M83" s="1" t="s">
        <v>54</v>
      </c>
      <c r="N83" s="1" t="s">
        <v>603</v>
      </c>
      <c r="O83" s="1" t="s">
        <v>512</v>
      </c>
      <c r="P83" s="2">
        <v>0.40359664462617106</v>
      </c>
      <c r="Q83" s="2">
        <v>0.41038922339684886</v>
      </c>
      <c r="R83" s="2">
        <v>0.38329800766347549</v>
      </c>
      <c r="S83" s="1">
        <f t="shared" si="4"/>
        <v>0.39909462522883182</v>
      </c>
      <c r="T83" s="1">
        <f t="shared" si="3"/>
        <v>1.409555342895618E-2</v>
      </c>
      <c r="U83" s="1" t="s">
        <v>561</v>
      </c>
    </row>
    <row r="84" spans="1:21" x14ac:dyDescent="0.3">
      <c r="A84" s="1">
        <v>83</v>
      </c>
      <c r="B84" s="1" t="s">
        <v>284</v>
      </c>
      <c r="C84" s="1">
        <v>301</v>
      </c>
      <c r="D84" s="1">
        <v>1</v>
      </c>
      <c r="E84" s="1" t="s">
        <v>285</v>
      </c>
      <c r="F84" s="1">
        <v>103965276</v>
      </c>
      <c r="G84" s="1" t="s">
        <v>24</v>
      </c>
      <c r="H84" s="1" t="s">
        <v>15</v>
      </c>
      <c r="I84" s="1">
        <v>0.35599999999999998</v>
      </c>
      <c r="J84" s="1" t="s">
        <v>16</v>
      </c>
      <c r="K84" s="1" t="s">
        <v>286</v>
      </c>
      <c r="L84" s="1" t="s">
        <v>281</v>
      </c>
      <c r="M84" s="1" t="s">
        <v>54</v>
      </c>
      <c r="N84" s="1" t="s">
        <v>603</v>
      </c>
      <c r="O84" s="1" t="s">
        <v>513</v>
      </c>
      <c r="P84" s="2">
        <v>0.83358505073676803</v>
      </c>
      <c r="Q84" s="2">
        <v>0.83596734346526036</v>
      </c>
      <c r="R84" s="2">
        <v>0.83067087517662319</v>
      </c>
      <c r="S84" s="1">
        <f t="shared" si="4"/>
        <v>0.83340775645955045</v>
      </c>
      <c r="T84" s="1">
        <f t="shared" si="3"/>
        <v>2.652681478935106E-3</v>
      </c>
      <c r="U84" s="1">
        <f>_xlfn.T.TEST(P84:R84,P85:R85,2,3)</f>
        <v>5.6542278351375558E-3</v>
      </c>
    </row>
    <row r="85" spans="1:21" x14ac:dyDescent="0.3">
      <c r="A85" s="1">
        <v>84</v>
      </c>
      <c r="B85" s="1" t="s">
        <v>287</v>
      </c>
      <c r="C85" s="1">
        <v>301</v>
      </c>
      <c r="D85" s="1">
        <v>1</v>
      </c>
      <c r="E85" s="1" t="s">
        <v>285</v>
      </c>
      <c r="F85" s="1">
        <v>103965276</v>
      </c>
      <c r="G85" s="1" t="s">
        <v>24</v>
      </c>
      <c r="H85" s="1" t="s">
        <v>15</v>
      </c>
      <c r="I85" s="1">
        <v>0.35599999999999998</v>
      </c>
      <c r="J85" s="1" t="s">
        <v>16</v>
      </c>
      <c r="K85" s="1" t="s">
        <v>288</v>
      </c>
      <c r="L85" s="1" t="s">
        <v>281</v>
      </c>
      <c r="M85" s="1" t="s">
        <v>54</v>
      </c>
      <c r="N85" s="1" t="s">
        <v>603</v>
      </c>
      <c r="O85" s="1" t="s">
        <v>514</v>
      </c>
      <c r="P85" s="2">
        <v>0.61934317304557218</v>
      </c>
      <c r="Q85" s="2">
        <v>0.59145680025174974</v>
      </c>
      <c r="R85" s="2">
        <v>0.64891194946585617</v>
      </c>
      <c r="S85" s="1">
        <f t="shared" si="4"/>
        <v>0.6199039742543927</v>
      </c>
      <c r="T85" s="1">
        <f t="shared" si="3"/>
        <v>2.8731679663755647E-2</v>
      </c>
      <c r="U85" s="1" t="s">
        <v>561</v>
      </c>
    </row>
    <row r="86" spans="1:21" x14ac:dyDescent="0.3">
      <c r="A86" s="1">
        <v>85</v>
      </c>
      <c r="B86" s="1" t="s">
        <v>289</v>
      </c>
      <c r="C86" s="1">
        <v>301</v>
      </c>
      <c r="D86" s="1">
        <v>1</v>
      </c>
      <c r="E86" s="1" t="s">
        <v>290</v>
      </c>
      <c r="F86" s="1">
        <v>116662408</v>
      </c>
      <c r="G86" s="1" t="s">
        <v>14</v>
      </c>
      <c r="H86" s="1" t="s">
        <v>72</v>
      </c>
      <c r="I86" s="1">
        <v>0.10100000000000001</v>
      </c>
      <c r="J86" s="1" t="s">
        <v>36</v>
      </c>
      <c r="K86" s="1" t="s">
        <v>291</v>
      </c>
      <c r="L86" s="1" t="s">
        <v>292</v>
      </c>
      <c r="M86" s="1" t="s">
        <v>47</v>
      </c>
      <c r="N86" s="1" t="s">
        <v>604</v>
      </c>
      <c r="O86" s="1" t="s">
        <v>515</v>
      </c>
      <c r="P86" s="2">
        <v>0.86088560422463312</v>
      </c>
      <c r="Q86" s="2">
        <v>0.8136186417334702</v>
      </c>
      <c r="R86" s="2">
        <v>0.79566768245187292</v>
      </c>
      <c r="S86" s="1">
        <f t="shared" si="4"/>
        <v>0.82339064280332541</v>
      </c>
      <c r="T86" s="1">
        <f t="shared" si="3"/>
        <v>3.3689216876790204E-2</v>
      </c>
      <c r="U86" s="1">
        <f>_xlfn.T.TEST(P86:R86,P87:R87,2,3)</f>
        <v>2.3976048485741413E-3</v>
      </c>
    </row>
    <row r="87" spans="1:21" x14ac:dyDescent="0.3">
      <c r="A87" s="1">
        <v>86</v>
      </c>
      <c r="B87" s="1" t="s">
        <v>293</v>
      </c>
      <c r="C87" s="1">
        <v>301</v>
      </c>
      <c r="D87" s="1">
        <v>1</v>
      </c>
      <c r="E87" s="1" t="s">
        <v>290</v>
      </c>
      <c r="F87" s="1">
        <v>116662408</v>
      </c>
      <c r="G87" s="1" t="s">
        <v>14</v>
      </c>
      <c r="H87" s="1" t="s">
        <v>72</v>
      </c>
      <c r="I87" s="1">
        <v>0.10100000000000001</v>
      </c>
      <c r="J87" s="1" t="s">
        <v>36</v>
      </c>
      <c r="K87" s="1" t="s">
        <v>294</v>
      </c>
      <c r="L87" s="1" t="s">
        <v>292</v>
      </c>
      <c r="M87" s="1" t="s">
        <v>47</v>
      </c>
      <c r="N87" s="1" t="s">
        <v>604</v>
      </c>
      <c r="O87" s="1" t="s">
        <v>516</v>
      </c>
      <c r="P87" s="2">
        <v>1.0182846600012028</v>
      </c>
      <c r="Q87" s="2">
        <v>1.0213223427652378</v>
      </c>
      <c r="R87" s="2">
        <v>0.96912089278074998</v>
      </c>
      <c r="S87" s="1">
        <f t="shared" si="4"/>
        <v>1.0029092985157302</v>
      </c>
      <c r="T87" s="1">
        <f t="shared" si="3"/>
        <v>2.9301009380693039E-2</v>
      </c>
      <c r="U87" s="1" t="s">
        <v>561</v>
      </c>
    </row>
    <row r="88" spans="1:21" x14ac:dyDescent="0.3">
      <c r="A88" s="1">
        <v>87</v>
      </c>
      <c r="B88" s="1" t="s">
        <v>295</v>
      </c>
      <c r="C88" s="1">
        <v>326</v>
      </c>
      <c r="D88" s="1">
        <v>2</v>
      </c>
      <c r="E88" s="1" t="s">
        <v>296</v>
      </c>
      <c r="F88" s="1" t="s">
        <v>297</v>
      </c>
      <c r="G88" s="1" t="s">
        <v>34</v>
      </c>
      <c r="H88" s="1" t="s">
        <v>35</v>
      </c>
      <c r="I88" s="1" t="s">
        <v>574</v>
      </c>
      <c r="J88" s="1" t="s">
        <v>36</v>
      </c>
      <c r="K88" s="1" t="s">
        <v>298</v>
      </c>
      <c r="L88" s="1" t="s">
        <v>292</v>
      </c>
      <c r="M88" s="1" t="s">
        <v>118</v>
      </c>
      <c r="N88" s="1" t="s">
        <v>604</v>
      </c>
      <c r="O88" s="1" t="s">
        <v>517</v>
      </c>
      <c r="P88" s="2">
        <v>1.3680022881227289</v>
      </c>
      <c r="Q88" s="2">
        <v>1.4786010084513865</v>
      </c>
      <c r="R88" s="2">
        <v>1.3743934779453675</v>
      </c>
      <c r="S88" s="1">
        <f t="shared" si="4"/>
        <v>1.4069989248398276</v>
      </c>
      <c r="T88" s="1">
        <f t="shared" si="3"/>
        <v>6.2091509966941141E-2</v>
      </c>
      <c r="U88" s="1">
        <f>_xlfn.T.TEST(P88:R88,P89:R89,2,3)</f>
        <v>0.45009861922826416</v>
      </c>
    </row>
    <row r="89" spans="1:21" x14ac:dyDescent="0.3">
      <c r="A89" s="1">
        <v>88</v>
      </c>
      <c r="B89" s="1" t="s">
        <v>299</v>
      </c>
      <c r="C89" s="1">
        <v>326</v>
      </c>
      <c r="D89" s="1">
        <v>2</v>
      </c>
      <c r="E89" s="1" t="s">
        <v>296</v>
      </c>
      <c r="F89" s="1" t="s">
        <v>297</v>
      </c>
      <c r="G89" s="1" t="s">
        <v>34</v>
      </c>
      <c r="H89" s="1" t="s">
        <v>35</v>
      </c>
      <c r="I89" s="1" t="s">
        <v>574</v>
      </c>
      <c r="J89" s="1" t="s">
        <v>36</v>
      </c>
      <c r="K89" s="1" t="s">
        <v>300</v>
      </c>
      <c r="L89" s="1" t="s">
        <v>292</v>
      </c>
      <c r="M89" s="1" t="s">
        <v>118</v>
      </c>
      <c r="N89" s="1" t="s">
        <v>604</v>
      </c>
      <c r="O89" s="1" t="s">
        <v>518</v>
      </c>
      <c r="P89" s="2">
        <v>1.3253711431799369</v>
      </c>
      <c r="Q89" s="2">
        <v>1.4277770699435504</v>
      </c>
      <c r="R89" s="2">
        <v>1.3487235122850016</v>
      </c>
      <c r="S89" s="1">
        <f t="shared" si="4"/>
        <v>1.367290575136163</v>
      </c>
      <c r="T89" s="1">
        <f t="shared" si="3"/>
        <v>5.3668382929503967E-2</v>
      </c>
      <c r="U89" s="1" t="s">
        <v>561</v>
      </c>
    </row>
    <row r="90" spans="1:21" x14ac:dyDescent="0.3">
      <c r="A90" s="1">
        <v>89</v>
      </c>
      <c r="B90" s="1" t="s">
        <v>301</v>
      </c>
      <c r="C90" s="1">
        <v>301</v>
      </c>
      <c r="D90" s="1">
        <v>1</v>
      </c>
      <c r="E90" s="1" t="s">
        <v>302</v>
      </c>
      <c r="F90" s="1">
        <v>116674322</v>
      </c>
      <c r="G90" s="1" t="s">
        <v>15</v>
      </c>
      <c r="H90" s="1" t="s">
        <v>72</v>
      </c>
      <c r="I90" s="1">
        <v>8.7999999999999995E-2</v>
      </c>
      <c r="J90" s="1" t="s">
        <v>36</v>
      </c>
      <c r="K90" s="1" t="s">
        <v>303</v>
      </c>
      <c r="L90" s="1" t="s">
        <v>304</v>
      </c>
      <c r="M90" s="1" t="s">
        <v>19</v>
      </c>
      <c r="N90" s="1" t="s">
        <v>604</v>
      </c>
      <c r="O90" s="1" t="s">
        <v>519</v>
      </c>
      <c r="P90" s="2">
        <v>1.2995502687503226</v>
      </c>
      <c r="Q90" s="2">
        <v>1.3615018246868908</v>
      </c>
      <c r="R90" s="2">
        <v>1.3325038560414797</v>
      </c>
      <c r="S90" s="1">
        <f t="shared" si="4"/>
        <v>1.3311853164928975</v>
      </c>
      <c r="T90" s="1">
        <f t="shared" si="3"/>
        <v>3.0996818072929935E-2</v>
      </c>
      <c r="U90" s="1">
        <f>_xlfn.T.TEST(P90:R90,P91:R91,2,3)</f>
        <v>9.7087002982344604E-3</v>
      </c>
    </row>
    <row r="91" spans="1:21" x14ac:dyDescent="0.3">
      <c r="A91" s="1">
        <v>90</v>
      </c>
      <c r="B91" s="1" t="s">
        <v>305</v>
      </c>
      <c r="C91" s="1">
        <v>301</v>
      </c>
      <c r="D91" s="1">
        <v>1</v>
      </c>
      <c r="E91" s="1" t="s">
        <v>302</v>
      </c>
      <c r="F91" s="1">
        <v>116674322</v>
      </c>
      <c r="G91" s="1" t="s">
        <v>15</v>
      </c>
      <c r="H91" s="1" t="s">
        <v>72</v>
      </c>
      <c r="I91" s="1">
        <v>8.7999999999999995E-2</v>
      </c>
      <c r="J91" s="1" t="s">
        <v>36</v>
      </c>
      <c r="K91" s="1" t="s">
        <v>306</v>
      </c>
      <c r="L91" s="1" t="s">
        <v>304</v>
      </c>
      <c r="M91" s="1" t="s">
        <v>19</v>
      </c>
      <c r="N91" s="1" t="s">
        <v>604</v>
      </c>
      <c r="O91" s="1" t="s">
        <v>520</v>
      </c>
      <c r="P91" s="2">
        <v>1.4714124528278327</v>
      </c>
      <c r="Q91" s="2">
        <v>1.4474461797434015</v>
      </c>
      <c r="R91" s="2">
        <v>1.4665040622943348</v>
      </c>
      <c r="S91" s="1">
        <f t="shared" si="4"/>
        <v>1.4617875649551897</v>
      </c>
      <c r="T91" s="1">
        <f t="shared" si="3"/>
        <v>1.2660156861271725E-2</v>
      </c>
      <c r="U91" s="1" t="s">
        <v>561</v>
      </c>
    </row>
    <row r="92" spans="1:21" x14ac:dyDescent="0.3">
      <c r="A92" s="1">
        <v>91</v>
      </c>
      <c r="B92" s="1" t="s">
        <v>307</v>
      </c>
      <c r="C92" s="1">
        <v>301</v>
      </c>
      <c r="D92" s="1">
        <v>1</v>
      </c>
      <c r="E92" s="1" t="s">
        <v>308</v>
      </c>
      <c r="F92" s="1">
        <v>116695595</v>
      </c>
      <c r="G92" s="1" t="s">
        <v>24</v>
      </c>
      <c r="H92" s="1" t="s">
        <v>15</v>
      </c>
      <c r="I92" s="1">
        <v>0.13</v>
      </c>
      <c r="J92" s="1" t="s">
        <v>36</v>
      </c>
      <c r="K92" s="1" t="s">
        <v>309</v>
      </c>
      <c r="L92" s="1" t="s">
        <v>310</v>
      </c>
      <c r="M92" s="1" t="s">
        <v>147</v>
      </c>
      <c r="N92" s="1" t="s">
        <v>604</v>
      </c>
      <c r="O92" s="1" t="s">
        <v>521</v>
      </c>
      <c r="P92" s="2">
        <v>2.6109045616147051</v>
      </c>
      <c r="Q92" s="2">
        <v>2.6295023344324697</v>
      </c>
      <c r="R92" s="2">
        <v>2.6509010444769272</v>
      </c>
      <c r="S92" s="1">
        <f t="shared" si="4"/>
        <v>2.6304359801747004</v>
      </c>
      <c r="T92" s="1">
        <f t="shared" si="3"/>
        <v>2.0014580463152271E-2</v>
      </c>
      <c r="U92" s="1">
        <f>_xlfn.T.TEST(P92:R92,P93:R93,2,3)</f>
        <v>7.9062851793393308E-4</v>
      </c>
    </row>
    <row r="93" spans="1:21" x14ac:dyDescent="0.3">
      <c r="A93" s="1">
        <v>92</v>
      </c>
      <c r="B93" s="1" t="s">
        <v>311</v>
      </c>
      <c r="C93" s="1">
        <v>301</v>
      </c>
      <c r="D93" s="1">
        <v>1</v>
      </c>
      <c r="E93" s="1" t="s">
        <v>308</v>
      </c>
      <c r="F93" s="1">
        <v>116695595</v>
      </c>
      <c r="G93" s="1" t="s">
        <v>24</v>
      </c>
      <c r="H93" s="1" t="s">
        <v>15</v>
      </c>
      <c r="I93" s="1">
        <v>0.13</v>
      </c>
      <c r="J93" s="1" t="s">
        <v>36</v>
      </c>
      <c r="K93" s="1" t="s">
        <v>312</v>
      </c>
      <c r="L93" s="1" t="s">
        <v>310</v>
      </c>
      <c r="M93" s="1" t="s">
        <v>147</v>
      </c>
      <c r="N93" s="1" t="s">
        <v>604</v>
      </c>
      <c r="O93" s="1" t="s">
        <v>522</v>
      </c>
      <c r="P93" s="2">
        <v>1.3755738090934886</v>
      </c>
      <c r="Q93" s="2">
        <v>1.3352061480601354</v>
      </c>
      <c r="R93" s="2">
        <v>1.4895804127610848</v>
      </c>
      <c r="S93" s="1">
        <f t="shared" si="4"/>
        <v>1.4001201233049028</v>
      </c>
      <c r="T93" s="1">
        <f t="shared" si="3"/>
        <v>8.0060880313133007E-2</v>
      </c>
      <c r="U93" s="1" t="s">
        <v>561</v>
      </c>
    </row>
    <row r="94" spans="1:21" x14ac:dyDescent="0.3">
      <c r="A94" s="1">
        <v>93</v>
      </c>
      <c r="B94" s="1" t="s">
        <v>313</v>
      </c>
      <c r="C94" s="1">
        <v>301</v>
      </c>
      <c r="D94" s="1">
        <v>1</v>
      </c>
      <c r="E94" s="1" t="s">
        <v>314</v>
      </c>
      <c r="F94" s="1">
        <v>117889505</v>
      </c>
      <c r="G94" s="1" t="s">
        <v>72</v>
      </c>
      <c r="H94" s="1" t="s">
        <v>14</v>
      </c>
      <c r="I94" s="1">
        <v>0.26900000000000002</v>
      </c>
      <c r="J94" s="1" t="s">
        <v>16</v>
      </c>
      <c r="K94" s="1" t="s">
        <v>315</v>
      </c>
      <c r="L94" s="1" t="s">
        <v>316</v>
      </c>
      <c r="M94" s="1" t="s">
        <v>147</v>
      </c>
      <c r="N94" s="1" t="s">
        <v>605</v>
      </c>
      <c r="O94" s="1" t="s">
        <v>523</v>
      </c>
      <c r="P94" s="2">
        <v>0.88363382991511352</v>
      </c>
      <c r="Q94" s="2">
        <v>0.97287471278227433</v>
      </c>
      <c r="R94" s="2">
        <v>0.8762081393172696</v>
      </c>
      <c r="S94" s="1">
        <f t="shared" si="4"/>
        <v>0.91090556067155237</v>
      </c>
      <c r="T94" s="1">
        <f t="shared" si="3"/>
        <v>5.3795139931085444E-2</v>
      </c>
      <c r="U94" s="1">
        <f>_xlfn.T.TEST(P94:R94,P95:R95,2,3)</f>
        <v>1.279424167325265E-4</v>
      </c>
    </row>
    <row r="95" spans="1:21" x14ac:dyDescent="0.3">
      <c r="A95" s="1">
        <v>94</v>
      </c>
      <c r="B95" s="1" t="s">
        <v>317</v>
      </c>
      <c r="C95" s="1">
        <v>301</v>
      </c>
      <c r="D95" s="1">
        <v>1</v>
      </c>
      <c r="E95" s="1" t="s">
        <v>314</v>
      </c>
      <c r="F95" s="1">
        <v>117889505</v>
      </c>
      <c r="G95" s="1" t="s">
        <v>72</v>
      </c>
      <c r="H95" s="1" t="s">
        <v>14</v>
      </c>
      <c r="I95" s="1">
        <v>0.26900000000000002</v>
      </c>
      <c r="J95" s="1" t="s">
        <v>16</v>
      </c>
      <c r="K95" s="1" t="s">
        <v>318</v>
      </c>
      <c r="L95" s="1" t="s">
        <v>316</v>
      </c>
      <c r="M95" s="1" t="s">
        <v>147</v>
      </c>
      <c r="N95" s="1" t="s">
        <v>605</v>
      </c>
      <c r="O95" s="1" t="s">
        <v>524</v>
      </c>
      <c r="P95" s="2">
        <v>1.5206009066799067</v>
      </c>
      <c r="Q95" s="2">
        <v>1.5070577052854763</v>
      </c>
      <c r="R95" s="2">
        <v>1.5879483484264718</v>
      </c>
      <c r="S95" s="1">
        <f t="shared" si="4"/>
        <v>1.5385356534639516</v>
      </c>
      <c r="T95" s="1">
        <f t="shared" si="3"/>
        <v>4.3325112736112149E-2</v>
      </c>
      <c r="U95" s="1" t="s">
        <v>561</v>
      </c>
    </row>
    <row r="96" spans="1:21" x14ac:dyDescent="0.3">
      <c r="A96" s="1">
        <v>95</v>
      </c>
      <c r="B96" s="1" t="s">
        <v>319</v>
      </c>
      <c r="C96" s="1">
        <v>301</v>
      </c>
      <c r="D96" s="1">
        <v>1</v>
      </c>
      <c r="E96" s="1" t="s">
        <v>320</v>
      </c>
      <c r="F96" s="1">
        <v>117890385</v>
      </c>
      <c r="G96" s="1" t="s">
        <v>15</v>
      </c>
      <c r="H96" s="1" t="s">
        <v>24</v>
      </c>
      <c r="I96" s="1">
        <v>0.216</v>
      </c>
      <c r="J96" s="1" t="s">
        <v>16</v>
      </c>
      <c r="K96" s="1" t="s">
        <v>321</v>
      </c>
      <c r="L96" s="1" t="s">
        <v>322</v>
      </c>
      <c r="M96" s="1" t="s">
        <v>323</v>
      </c>
      <c r="N96" s="1" t="s">
        <v>605</v>
      </c>
      <c r="O96" s="1" t="s">
        <v>525</v>
      </c>
      <c r="P96" s="2">
        <v>0.48343699719287286</v>
      </c>
      <c r="Q96" s="2">
        <v>0.49849885338682165</v>
      </c>
      <c r="R96" s="2">
        <v>0.49600635911988755</v>
      </c>
      <c r="S96" s="1">
        <f t="shared" si="4"/>
        <v>0.492647403233194</v>
      </c>
      <c r="T96" s="1">
        <f t="shared" si="3"/>
        <v>8.0732159941601465E-3</v>
      </c>
      <c r="U96" s="1">
        <f>_xlfn.T.TEST(P96:R96,P97:R97,2,3)</f>
        <v>1.7087958412155248E-4</v>
      </c>
    </row>
    <row r="97" spans="1:21" x14ac:dyDescent="0.3">
      <c r="A97" s="1">
        <v>96</v>
      </c>
      <c r="B97" s="1" t="s">
        <v>324</v>
      </c>
      <c r="C97" s="1">
        <v>301</v>
      </c>
      <c r="D97" s="1">
        <v>1</v>
      </c>
      <c r="E97" s="1" t="s">
        <v>320</v>
      </c>
      <c r="F97" s="1">
        <v>117890385</v>
      </c>
      <c r="G97" s="1" t="s">
        <v>15</v>
      </c>
      <c r="H97" s="1" t="s">
        <v>24</v>
      </c>
      <c r="I97" s="1">
        <v>0.216</v>
      </c>
      <c r="J97" s="1" t="s">
        <v>16</v>
      </c>
      <c r="K97" s="1" t="s">
        <v>325</v>
      </c>
      <c r="L97" s="1" t="s">
        <v>322</v>
      </c>
      <c r="M97" s="1" t="s">
        <v>323</v>
      </c>
      <c r="N97" s="1" t="s">
        <v>605</v>
      </c>
      <c r="O97" s="1" t="s">
        <v>526</v>
      </c>
      <c r="P97" s="2">
        <v>0.79188299065893208</v>
      </c>
      <c r="Q97" s="2">
        <v>0.77638142031215651</v>
      </c>
      <c r="R97" s="2">
        <v>0.75802520797940021</v>
      </c>
      <c r="S97" s="1">
        <f t="shared" si="4"/>
        <v>0.77542987298349619</v>
      </c>
      <c r="T97" s="1">
        <f t="shared" si="3"/>
        <v>1.6948936359919831E-2</v>
      </c>
      <c r="U97" s="1" t="s">
        <v>561</v>
      </c>
    </row>
    <row r="98" spans="1:21" x14ac:dyDescent="0.3">
      <c r="A98" s="1">
        <v>97</v>
      </c>
      <c r="B98" s="1" t="s">
        <v>326</v>
      </c>
      <c r="C98" s="1">
        <v>301</v>
      </c>
      <c r="D98" s="1">
        <v>1</v>
      </c>
      <c r="E98" s="1" t="s">
        <v>327</v>
      </c>
      <c r="F98" s="1">
        <v>117897147</v>
      </c>
      <c r="G98" s="1" t="s">
        <v>14</v>
      </c>
      <c r="H98" s="1" t="s">
        <v>72</v>
      </c>
      <c r="I98" s="1">
        <v>0.113</v>
      </c>
      <c r="J98" s="1" t="s">
        <v>16</v>
      </c>
      <c r="K98" s="1" t="s">
        <v>328</v>
      </c>
      <c r="L98" s="1" t="s">
        <v>329</v>
      </c>
      <c r="M98" s="1" t="s">
        <v>28</v>
      </c>
      <c r="N98" s="1" t="s">
        <v>605</v>
      </c>
      <c r="O98" s="1" t="s">
        <v>527</v>
      </c>
      <c r="P98" s="2">
        <v>0.48660408051306547</v>
      </c>
      <c r="Q98" s="2">
        <v>0.54122861734669625</v>
      </c>
      <c r="R98" s="2">
        <v>0.54135601907878228</v>
      </c>
      <c r="S98" s="1">
        <f t="shared" si="4"/>
        <v>0.5230629056461813</v>
      </c>
      <c r="T98" s="1">
        <f t="shared" si="3"/>
        <v>3.1574333015373025E-2</v>
      </c>
      <c r="U98" s="1">
        <f>_xlfn.T.TEST(P98:R98,P99:R99,2,3)</f>
        <v>2.2774868669268546E-4</v>
      </c>
    </row>
    <row r="99" spans="1:21" x14ac:dyDescent="0.3">
      <c r="A99" s="1">
        <v>98</v>
      </c>
      <c r="B99" s="1" t="s">
        <v>330</v>
      </c>
      <c r="C99" s="1">
        <v>301</v>
      </c>
      <c r="D99" s="1">
        <v>1</v>
      </c>
      <c r="E99" s="1" t="s">
        <v>327</v>
      </c>
      <c r="F99" s="1">
        <v>117897147</v>
      </c>
      <c r="G99" s="1" t="s">
        <v>14</v>
      </c>
      <c r="H99" s="1" t="s">
        <v>72</v>
      </c>
      <c r="I99" s="1">
        <v>0.113</v>
      </c>
      <c r="J99" s="1" t="s">
        <v>16</v>
      </c>
      <c r="K99" s="1" t="s">
        <v>331</v>
      </c>
      <c r="L99" s="1" t="s">
        <v>329</v>
      </c>
      <c r="M99" s="1" t="s">
        <v>28</v>
      </c>
      <c r="N99" s="1" t="s">
        <v>605</v>
      </c>
      <c r="O99" s="1" t="s">
        <v>528</v>
      </c>
      <c r="P99" s="2">
        <v>0.91957605970782441</v>
      </c>
      <c r="Q99" s="2">
        <v>0.88714990025792451</v>
      </c>
      <c r="R99" s="2">
        <v>0.91887367047754853</v>
      </c>
      <c r="S99" s="1">
        <f t="shared" si="4"/>
        <v>0.90853321014776578</v>
      </c>
      <c r="T99" s="1">
        <f t="shared" si="3"/>
        <v>1.8521819404190312E-2</v>
      </c>
      <c r="U99" s="1" t="s">
        <v>561</v>
      </c>
    </row>
    <row r="100" spans="1:21" x14ac:dyDescent="0.3">
      <c r="A100" s="1">
        <v>99</v>
      </c>
      <c r="B100" s="1" t="s">
        <v>332</v>
      </c>
      <c r="C100" s="1">
        <v>301</v>
      </c>
      <c r="D100" s="1">
        <v>1</v>
      </c>
      <c r="E100" s="1" t="s">
        <v>333</v>
      </c>
      <c r="F100" s="1">
        <v>23120140</v>
      </c>
      <c r="G100" s="1" t="s">
        <v>14</v>
      </c>
      <c r="H100" s="1" t="s">
        <v>72</v>
      </c>
      <c r="I100" s="1">
        <v>1</v>
      </c>
      <c r="J100" s="1" t="s">
        <v>36</v>
      </c>
      <c r="K100" s="1" t="s">
        <v>334</v>
      </c>
      <c r="L100" s="1" t="s">
        <v>335</v>
      </c>
      <c r="M100" s="1" t="s">
        <v>47</v>
      </c>
      <c r="N100" s="1" t="s">
        <v>606</v>
      </c>
      <c r="O100" s="1" t="s">
        <v>529</v>
      </c>
      <c r="P100" s="2">
        <v>1.9771847303811334</v>
      </c>
      <c r="Q100" s="2">
        <v>2.1121065323168398</v>
      </c>
      <c r="R100" s="2">
        <v>2.2034876881167476</v>
      </c>
      <c r="S100" s="1">
        <f t="shared" si="4"/>
        <v>2.097592983604907</v>
      </c>
      <c r="T100" s="1">
        <f t="shared" si="3"/>
        <v>0.11384743955018062</v>
      </c>
      <c r="U100" s="1">
        <f>_xlfn.T.TEST(P100:R100,P101:R101,2,3)</f>
        <v>1.4038419209437428E-3</v>
      </c>
    </row>
    <row r="101" spans="1:21" x14ac:dyDescent="0.3">
      <c r="A101" s="1">
        <v>100</v>
      </c>
      <c r="B101" s="1" t="s">
        <v>336</v>
      </c>
      <c r="C101" s="1">
        <v>301</v>
      </c>
      <c r="D101" s="1">
        <v>1</v>
      </c>
      <c r="E101" s="1" t="s">
        <v>333</v>
      </c>
      <c r="F101" s="1">
        <v>23120140</v>
      </c>
      <c r="G101" s="1" t="s">
        <v>14</v>
      </c>
      <c r="H101" s="1" t="s">
        <v>72</v>
      </c>
      <c r="I101" s="1">
        <v>1</v>
      </c>
      <c r="J101" s="1" t="s">
        <v>36</v>
      </c>
      <c r="K101" s="1" t="s">
        <v>337</v>
      </c>
      <c r="L101" s="1" t="s">
        <v>335</v>
      </c>
      <c r="M101" s="1" t="s">
        <v>47</v>
      </c>
      <c r="N101" s="1" t="s">
        <v>606</v>
      </c>
      <c r="O101" s="1" t="s">
        <v>530</v>
      </c>
      <c r="P101" s="2">
        <v>1.1843677120644516</v>
      </c>
      <c r="Q101" s="2">
        <v>1.1985721624949117</v>
      </c>
      <c r="R101" s="2">
        <v>1.102561209583717</v>
      </c>
      <c r="S101" s="1">
        <f t="shared" si="4"/>
        <v>1.1618336947143602</v>
      </c>
      <c r="T101" s="1">
        <f t="shared" si="3"/>
        <v>5.1820480730880747E-2</v>
      </c>
      <c r="U101" s="1" t="s">
        <v>561</v>
      </c>
    </row>
    <row r="102" spans="1:21" x14ac:dyDescent="0.3">
      <c r="A102" s="1">
        <v>101</v>
      </c>
      <c r="B102" s="1" t="s">
        <v>338</v>
      </c>
      <c r="C102" s="1">
        <v>301</v>
      </c>
      <c r="D102" s="1">
        <v>1</v>
      </c>
      <c r="E102" s="1" t="s">
        <v>339</v>
      </c>
      <c r="F102" s="1">
        <v>67547980</v>
      </c>
      <c r="G102" s="1" t="s">
        <v>72</v>
      </c>
      <c r="H102" s="1" t="s">
        <v>14</v>
      </c>
      <c r="I102" s="1">
        <v>0.36699999999999999</v>
      </c>
      <c r="J102" s="1" t="s">
        <v>36</v>
      </c>
      <c r="K102" s="1" t="s">
        <v>340</v>
      </c>
      <c r="L102" s="1" t="s">
        <v>341</v>
      </c>
      <c r="M102" s="1" t="s">
        <v>118</v>
      </c>
      <c r="N102" s="1" t="s">
        <v>607</v>
      </c>
      <c r="O102" s="1" t="s">
        <v>531</v>
      </c>
      <c r="P102" s="2">
        <v>1.0888502936966531</v>
      </c>
      <c r="Q102" s="2">
        <v>1.2121706880795151</v>
      </c>
      <c r="R102" s="2">
        <v>1.191098819316319</v>
      </c>
      <c r="S102" s="1">
        <f t="shared" si="4"/>
        <v>1.1640399336974958</v>
      </c>
      <c r="T102" s="1">
        <f t="shared" si="3"/>
        <v>6.5963000127992791E-2</v>
      </c>
      <c r="U102" s="1">
        <f>_xlfn.T.TEST(P102:R102,P103:R103,2,3)</f>
        <v>4.9138622148115017E-3</v>
      </c>
    </row>
    <row r="103" spans="1:21" x14ac:dyDescent="0.3">
      <c r="A103" s="1">
        <v>102</v>
      </c>
      <c r="B103" s="1" t="s">
        <v>342</v>
      </c>
      <c r="C103" s="1">
        <v>301</v>
      </c>
      <c r="D103" s="1">
        <v>1</v>
      </c>
      <c r="E103" s="1" t="s">
        <v>339</v>
      </c>
      <c r="F103" s="1">
        <v>67547980</v>
      </c>
      <c r="G103" s="1" t="s">
        <v>72</v>
      </c>
      <c r="H103" s="1" t="s">
        <v>14</v>
      </c>
      <c r="I103" s="1">
        <v>0.36699999999999999</v>
      </c>
      <c r="J103" s="1" t="s">
        <v>36</v>
      </c>
      <c r="K103" s="1" t="s">
        <v>343</v>
      </c>
      <c r="L103" s="1" t="s">
        <v>341</v>
      </c>
      <c r="M103" s="1" t="s">
        <v>118</v>
      </c>
      <c r="N103" s="1" t="s">
        <v>607</v>
      </c>
      <c r="O103" s="1" t="s">
        <v>532</v>
      </c>
      <c r="P103" s="2">
        <v>1.5044603502139662</v>
      </c>
      <c r="Q103" s="2">
        <v>1.4113417658048975</v>
      </c>
      <c r="R103" s="2">
        <v>1.4358774794586628</v>
      </c>
      <c r="S103" s="1">
        <f t="shared" si="4"/>
        <v>1.4505598651591756</v>
      </c>
      <c r="T103" s="1">
        <f t="shared" si="3"/>
        <v>4.8264345307702849E-2</v>
      </c>
      <c r="U103" s="1" t="s">
        <v>561</v>
      </c>
    </row>
    <row r="104" spans="1:21" x14ac:dyDescent="0.3">
      <c r="A104" s="1">
        <v>103</v>
      </c>
      <c r="B104" s="1" t="s">
        <v>344</v>
      </c>
      <c r="C104" s="1">
        <v>301</v>
      </c>
      <c r="D104" s="1">
        <v>1</v>
      </c>
      <c r="E104" s="1" t="s">
        <v>345</v>
      </c>
      <c r="F104" s="1">
        <v>17724927</v>
      </c>
      <c r="G104" s="1" t="s">
        <v>15</v>
      </c>
      <c r="H104" s="1" t="s">
        <v>24</v>
      </c>
      <c r="I104" s="1">
        <v>0.13</v>
      </c>
      <c r="J104" s="1" t="s">
        <v>170</v>
      </c>
      <c r="K104" s="1" t="s">
        <v>346</v>
      </c>
      <c r="L104" s="1" t="s">
        <v>347</v>
      </c>
      <c r="M104" s="1" t="s">
        <v>75</v>
      </c>
      <c r="N104" s="1" t="s">
        <v>608</v>
      </c>
      <c r="O104" s="1" t="s">
        <v>533</v>
      </c>
      <c r="P104" s="2">
        <v>0.81548342150508724</v>
      </c>
      <c r="Q104" s="2">
        <v>0.79483299458348688</v>
      </c>
      <c r="R104" s="2">
        <v>0.81946367649824348</v>
      </c>
      <c r="S104" s="1">
        <f t="shared" si="4"/>
        <v>0.80992669752893909</v>
      </c>
      <c r="T104" s="1">
        <f t="shared" si="3"/>
        <v>1.3222159767103225E-2</v>
      </c>
      <c r="U104" s="1">
        <f>_xlfn.T.TEST(P104:R104,P105:R105,2,3)</f>
        <v>3.957310314607014E-2</v>
      </c>
    </row>
    <row r="105" spans="1:21" x14ac:dyDescent="0.3">
      <c r="A105" s="1">
        <v>104</v>
      </c>
      <c r="B105" s="1" t="s">
        <v>348</v>
      </c>
      <c r="C105" s="1">
        <v>301</v>
      </c>
      <c r="D105" s="1">
        <v>1</v>
      </c>
      <c r="E105" s="1" t="s">
        <v>345</v>
      </c>
      <c r="F105" s="1">
        <v>17724927</v>
      </c>
      <c r="G105" s="1" t="s">
        <v>15</v>
      </c>
      <c r="H105" s="1" t="s">
        <v>24</v>
      </c>
      <c r="I105" s="1">
        <v>0.13</v>
      </c>
      <c r="J105" s="1" t="s">
        <v>170</v>
      </c>
      <c r="K105" s="1" t="s">
        <v>349</v>
      </c>
      <c r="L105" s="1" t="s">
        <v>347</v>
      </c>
      <c r="M105" s="1" t="s">
        <v>75</v>
      </c>
      <c r="N105" s="1" t="s">
        <v>608</v>
      </c>
      <c r="O105" s="1" t="s">
        <v>534</v>
      </c>
      <c r="P105" s="2">
        <v>1.1066430956431272</v>
      </c>
      <c r="Q105" s="2">
        <v>0.97482731272666068</v>
      </c>
      <c r="R105" s="2">
        <v>0.97150722127419376</v>
      </c>
      <c r="S105" s="1">
        <f t="shared" si="4"/>
        <v>1.0176592098813273</v>
      </c>
      <c r="T105" s="1">
        <f t="shared" si="3"/>
        <v>7.7080183547815928E-2</v>
      </c>
      <c r="U105" s="1" t="s">
        <v>561</v>
      </c>
    </row>
    <row r="106" spans="1:21" x14ac:dyDescent="0.3">
      <c r="A106" s="1">
        <v>105</v>
      </c>
      <c r="B106" s="1" t="s">
        <v>350</v>
      </c>
      <c r="C106" s="1">
        <v>301</v>
      </c>
      <c r="D106" s="1">
        <v>1</v>
      </c>
      <c r="E106" s="1" t="s">
        <v>351</v>
      </c>
      <c r="F106" s="1">
        <v>17725971</v>
      </c>
      <c r="G106" s="1" t="s">
        <v>24</v>
      </c>
      <c r="H106" s="1" t="s">
        <v>15</v>
      </c>
      <c r="I106" s="1">
        <v>0.188</v>
      </c>
      <c r="J106" s="1" t="s">
        <v>170</v>
      </c>
      <c r="K106" s="1" t="s">
        <v>352</v>
      </c>
      <c r="L106" s="1" t="s">
        <v>347</v>
      </c>
      <c r="M106" s="1" t="s">
        <v>75</v>
      </c>
      <c r="N106" s="1" t="s">
        <v>608</v>
      </c>
      <c r="O106" s="1" t="s">
        <v>535</v>
      </c>
      <c r="P106" s="2">
        <v>1.0093683209778803</v>
      </c>
      <c r="Q106" s="2">
        <v>1.0607461719645765</v>
      </c>
      <c r="R106" s="2">
        <v>1.090303745584682</v>
      </c>
      <c r="S106" s="1">
        <f t="shared" si="4"/>
        <v>1.053472746175713</v>
      </c>
      <c r="T106" s="1">
        <f t="shared" si="3"/>
        <v>4.0955009230866986E-2</v>
      </c>
      <c r="U106" s="1">
        <f>_xlfn.T.TEST(P106:R106,P107:R107,2,3)</f>
        <v>2.7769189014296346E-4</v>
      </c>
    </row>
    <row r="107" spans="1:21" x14ac:dyDescent="0.3">
      <c r="A107" s="1">
        <v>106</v>
      </c>
      <c r="B107" s="1" t="s">
        <v>353</v>
      </c>
      <c r="C107" s="1">
        <v>301</v>
      </c>
      <c r="D107" s="1">
        <v>1</v>
      </c>
      <c r="E107" s="1" t="s">
        <v>351</v>
      </c>
      <c r="F107" s="1">
        <v>17725971</v>
      </c>
      <c r="G107" s="1" t="s">
        <v>24</v>
      </c>
      <c r="H107" s="1" t="s">
        <v>15</v>
      </c>
      <c r="I107" s="1">
        <v>0.188</v>
      </c>
      <c r="J107" s="1" t="s">
        <v>170</v>
      </c>
      <c r="K107" s="1" t="s">
        <v>354</v>
      </c>
      <c r="L107" s="1" t="s">
        <v>347</v>
      </c>
      <c r="M107" s="1" t="s">
        <v>75</v>
      </c>
      <c r="N107" s="1" t="s">
        <v>608</v>
      </c>
      <c r="O107" s="1" t="s">
        <v>536</v>
      </c>
      <c r="P107" s="2">
        <v>0.6023840341699791</v>
      </c>
      <c r="Q107" s="2">
        <v>0.65368005723654077</v>
      </c>
      <c r="R107" s="2">
        <v>0.61453648998077171</v>
      </c>
      <c r="S107" s="1">
        <f t="shared" si="4"/>
        <v>0.62353352712909726</v>
      </c>
      <c r="T107" s="1">
        <f t="shared" si="3"/>
        <v>2.6805419297178851E-2</v>
      </c>
      <c r="U107" s="1" t="s">
        <v>561</v>
      </c>
    </row>
    <row r="108" spans="1:21" x14ac:dyDescent="0.3">
      <c r="A108" s="1">
        <v>107</v>
      </c>
      <c r="B108" s="1" t="s">
        <v>355</v>
      </c>
      <c r="C108" s="1">
        <v>524</v>
      </c>
      <c r="D108" s="1">
        <v>2</v>
      </c>
      <c r="E108" s="1" t="s">
        <v>356</v>
      </c>
      <c r="F108" s="1" t="s">
        <v>357</v>
      </c>
      <c r="G108" s="1" t="s">
        <v>358</v>
      </c>
      <c r="H108" s="1" t="s">
        <v>359</v>
      </c>
      <c r="I108" s="1" t="s">
        <v>575</v>
      </c>
      <c r="J108" s="1" t="s">
        <v>170</v>
      </c>
      <c r="K108" s="1" t="s">
        <v>360</v>
      </c>
      <c r="L108" s="1" t="s">
        <v>347</v>
      </c>
      <c r="M108" s="1" t="s">
        <v>75</v>
      </c>
      <c r="N108" s="1" t="s">
        <v>608</v>
      </c>
      <c r="O108" s="1" t="s">
        <v>537</v>
      </c>
      <c r="P108" s="2">
        <v>0.41038540269448109</v>
      </c>
      <c r="Q108" s="2">
        <v>0.42091313037124545</v>
      </c>
      <c r="R108" s="2">
        <v>0.4104066522700282</v>
      </c>
      <c r="S108" s="1">
        <f t="shared" si="4"/>
        <v>0.41390172844525158</v>
      </c>
      <c r="T108" s="1">
        <f t="shared" si="3"/>
        <v>6.0720614795955492E-3</v>
      </c>
      <c r="U108" s="1">
        <f>_xlfn.T.TEST(P108:R108,P109:R109,2,3)</f>
        <v>1.0349593114318981E-3</v>
      </c>
    </row>
    <row r="109" spans="1:21" x14ac:dyDescent="0.3">
      <c r="A109" s="1">
        <v>108</v>
      </c>
      <c r="B109" s="1" t="s">
        <v>361</v>
      </c>
      <c r="C109" s="1">
        <v>524</v>
      </c>
      <c r="D109" s="1">
        <v>2</v>
      </c>
      <c r="E109" s="1" t="s">
        <v>356</v>
      </c>
      <c r="F109" s="1" t="s">
        <v>357</v>
      </c>
      <c r="G109" s="1" t="s">
        <v>358</v>
      </c>
      <c r="H109" s="1" t="s">
        <v>359</v>
      </c>
      <c r="I109" s="1" t="s">
        <v>575</v>
      </c>
      <c r="J109" s="1" t="s">
        <v>170</v>
      </c>
      <c r="K109" s="1" t="s">
        <v>362</v>
      </c>
      <c r="L109" s="1" t="s">
        <v>347</v>
      </c>
      <c r="M109" s="1" t="s">
        <v>75</v>
      </c>
      <c r="N109" s="1" t="s">
        <v>608</v>
      </c>
      <c r="O109" s="1" t="s">
        <v>538</v>
      </c>
      <c r="P109" s="2">
        <v>0.97864767887027415</v>
      </c>
      <c r="Q109" s="2">
        <v>0.9170792998077697</v>
      </c>
      <c r="R109" s="2">
        <v>0.92267691411222019</v>
      </c>
      <c r="S109" s="1">
        <f t="shared" si="4"/>
        <v>0.93946796426342127</v>
      </c>
      <c r="T109" s="1">
        <f t="shared" si="3"/>
        <v>3.4045863904168645E-2</v>
      </c>
      <c r="U109" s="1" t="s">
        <v>561</v>
      </c>
    </row>
    <row r="110" spans="1:21" x14ac:dyDescent="0.3">
      <c r="A110" s="1">
        <v>109</v>
      </c>
      <c r="B110" s="1" t="s">
        <v>363</v>
      </c>
      <c r="C110" s="1">
        <v>301</v>
      </c>
      <c r="D110" s="1">
        <v>1</v>
      </c>
      <c r="E110" s="1" t="s">
        <v>364</v>
      </c>
      <c r="F110" s="1">
        <v>49014714</v>
      </c>
      <c r="G110" s="1" t="s">
        <v>24</v>
      </c>
      <c r="H110" s="1" t="s">
        <v>15</v>
      </c>
      <c r="I110" s="1">
        <v>0.93200000000000005</v>
      </c>
      <c r="J110" s="1" t="s">
        <v>170</v>
      </c>
      <c r="K110" s="1" t="s">
        <v>365</v>
      </c>
      <c r="L110" s="1" t="s">
        <v>366</v>
      </c>
      <c r="M110" s="1" t="s">
        <v>67</v>
      </c>
      <c r="N110" s="1" t="s">
        <v>609</v>
      </c>
      <c r="O110" s="1" t="s">
        <v>539</v>
      </c>
      <c r="P110" s="2">
        <v>0.71895325349779715</v>
      </c>
      <c r="Q110" s="2">
        <v>0.75310935384946132</v>
      </c>
      <c r="R110" s="2">
        <v>0.7519624224354029</v>
      </c>
      <c r="S110" s="1">
        <f t="shared" si="4"/>
        <v>0.74134167659422046</v>
      </c>
      <c r="T110" s="1">
        <f t="shared" si="3"/>
        <v>1.9397421980136532E-2</v>
      </c>
      <c r="U110" s="1">
        <f>_xlfn.T.TEST(P110:R110,P111:R111,2,3)</f>
        <v>4.0997196048350613E-3</v>
      </c>
    </row>
    <row r="111" spans="1:21" x14ac:dyDescent="0.3">
      <c r="A111" s="1">
        <v>110</v>
      </c>
      <c r="B111" s="1" t="s">
        <v>367</v>
      </c>
      <c r="C111" s="1">
        <v>301</v>
      </c>
      <c r="D111" s="1">
        <v>1</v>
      </c>
      <c r="E111" s="1" t="s">
        <v>364</v>
      </c>
      <c r="F111" s="1">
        <v>49014714</v>
      </c>
      <c r="G111" s="1" t="s">
        <v>24</v>
      </c>
      <c r="H111" s="1" t="s">
        <v>15</v>
      </c>
      <c r="I111" s="1">
        <v>0.93200000000000005</v>
      </c>
      <c r="J111" s="1" t="s">
        <v>170</v>
      </c>
      <c r="K111" s="1" t="s">
        <v>368</v>
      </c>
      <c r="L111" s="1" t="s">
        <v>366</v>
      </c>
      <c r="M111" s="1" t="s">
        <v>67</v>
      </c>
      <c r="N111" s="1" t="s">
        <v>609</v>
      </c>
      <c r="O111" s="1" t="s">
        <v>540</v>
      </c>
      <c r="P111" s="2">
        <v>0.86779459965986305</v>
      </c>
      <c r="Q111" s="2">
        <v>0.84019833774961639</v>
      </c>
      <c r="R111" s="2">
        <v>0.82366354760744365</v>
      </c>
      <c r="S111" s="1">
        <f t="shared" si="4"/>
        <v>0.84388549500564103</v>
      </c>
      <c r="T111" s="1">
        <f t="shared" si="3"/>
        <v>2.2295375872281885E-2</v>
      </c>
      <c r="U111" s="1" t="s">
        <v>561</v>
      </c>
    </row>
    <row r="112" spans="1:21" x14ac:dyDescent="0.3">
      <c r="A112" s="1">
        <v>111</v>
      </c>
      <c r="B112" s="1" t="s">
        <v>369</v>
      </c>
      <c r="C112" s="1">
        <v>301</v>
      </c>
      <c r="D112" s="1">
        <v>1</v>
      </c>
      <c r="E112" s="1" t="s">
        <v>370</v>
      </c>
      <c r="F112" s="1">
        <v>63138516</v>
      </c>
      <c r="G112" s="1" t="s">
        <v>15</v>
      </c>
      <c r="H112" s="1" t="s">
        <v>24</v>
      </c>
      <c r="I112" s="1">
        <v>0.5</v>
      </c>
      <c r="J112" s="1" t="s">
        <v>170</v>
      </c>
      <c r="K112" s="1" t="s">
        <v>371</v>
      </c>
      <c r="L112" s="1" t="s">
        <v>372</v>
      </c>
      <c r="M112" s="1" t="s">
        <v>118</v>
      </c>
      <c r="N112" s="1" t="s">
        <v>610</v>
      </c>
      <c r="O112" s="1" t="s">
        <v>541</v>
      </c>
      <c r="P112" s="2">
        <v>1.1596815679678814</v>
      </c>
      <c r="Q112" s="2">
        <v>1.0438953667353614</v>
      </c>
      <c r="R112" s="2">
        <v>1.0319129847353961</v>
      </c>
      <c r="S112" s="1">
        <f t="shared" si="4"/>
        <v>1.0784966398128797</v>
      </c>
      <c r="T112" s="1">
        <f t="shared" si="3"/>
        <v>7.0563012898032282E-2</v>
      </c>
      <c r="U112" s="1">
        <f>_xlfn.T.TEST(P112:R112,P113:R113,2,3)</f>
        <v>6.6172413571692073E-5</v>
      </c>
    </row>
    <row r="113" spans="1:21" x14ac:dyDescent="0.3">
      <c r="A113" s="1">
        <v>112</v>
      </c>
      <c r="B113" s="1" t="s">
        <v>373</v>
      </c>
      <c r="C113" s="1">
        <v>301</v>
      </c>
      <c r="D113" s="1">
        <v>1</v>
      </c>
      <c r="E113" s="1" t="s">
        <v>370</v>
      </c>
      <c r="F113" s="1">
        <v>63138516</v>
      </c>
      <c r="G113" s="1" t="s">
        <v>15</v>
      </c>
      <c r="H113" s="1" t="s">
        <v>24</v>
      </c>
      <c r="I113" s="1">
        <v>0.5</v>
      </c>
      <c r="J113" s="1" t="s">
        <v>170</v>
      </c>
      <c r="K113" s="1" t="s">
        <v>374</v>
      </c>
      <c r="L113" s="1" t="s">
        <v>372</v>
      </c>
      <c r="M113" s="1" t="s">
        <v>118</v>
      </c>
      <c r="N113" s="1" t="s">
        <v>610</v>
      </c>
      <c r="O113" s="1" t="s">
        <v>542</v>
      </c>
      <c r="P113" s="2">
        <v>2.158773111479412</v>
      </c>
      <c r="Q113" s="2">
        <v>2.0802036611208039</v>
      </c>
      <c r="R113" s="2">
        <v>2.1720237745257895</v>
      </c>
      <c r="S113" s="1">
        <f t="shared" si="4"/>
        <v>2.1370001823753353</v>
      </c>
      <c r="T113" s="1">
        <f t="shared" si="3"/>
        <v>4.9631427923791119E-2</v>
      </c>
      <c r="U113" s="1" t="s">
        <v>561</v>
      </c>
    </row>
    <row r="114" spans="1:21" x14ac:dyDescent="0.3">
      <c r="A114" s="1">
        <v>113</v>
      </c>
      <c r="B114" s="1" t="s">
        <v>375</v>
      </c>
      <c r="C114" s="1">
        <v>301</v>
      </c>
      <c r="D114" s="1">
        <v>1</v>
      </c>
      <c r="E114" s="1" t="s">
        <v>376</v>
      </c>
      <c r="F114" s="1">
        <v>63143007</v>
      </c>
      <c r="G114" s="1" t="s">
        <v>15</v>
      </c>
      <c r="H114" s="1" t="s">
        <v>72</v>
      </c>
      <c r="I114" s="1">
        <v>0.33100000000000002</v>
      </c>
      <c r="J114" s="1" t="s">
        <v>170</v>
      </c>
      <c r="K114" s="1" t="s">
        <v>377</v>
      </c>
      <c r="L114" s="1" t="s">
        <v>378</v>
      </c>
      <c r="M114" s="1" t="s">
        <v>118</v>
      </c>
      <c r="N114" s="1" t="s">
        <v>610</v>
      </c>
      <c r="O114" s="1" t="s">
        <v>543</v>
      </c>
      <c r="P114" s="2">
        <v>0.85691871929389307</v>
      </c>
      <c r="Q114" s="2">
        <v>0.89955274872820867</v>
      </c>
      <c r="R114" s="2">
        <v>0.8961899030003817</v>
      </c>
      <c r="S114" s="1">
        <f t="shared" si="4"/>
        <v>0.88422045700749452</v>
      </c>
      <c r="T114" s="1">
        <f t="shared" si="3"/>
        <v>2.3703709508935626E-2</v>
      </c>
      <c r="U114" s="1">
        <f>_xlfn.T.TEST(P114:R114,P115:R115,2,3)</f>
        <v>1.524742965135625E-2</v>
      </c>
    </row>
    <row r="115" spans="1:21" x14ac:dyDescent="0.3">
      <c r="A115" s="1">
        <v>114</v>
      </c>
      <c r="B115" s="1" t="s">
        <v>379</v>
      </c>
      <c r="C115" s="1">
        <v>301</v>
      </c>
      <c r="D115" s="1">
        <v>1</v>
      </c>
      <c r="E115" s="1" t="s">
        <v>376</v>
      </c>
      <c r="F115" s="1">
        <v>63143007</v>
      </c>
      <c r="G115" s="1" t="s">
        <v>15</v>
      </c>
      <c r="H115" s="1" t="s">
        <v>72</v>
      </c>
      <c r="I115" s="1">
        <v>0.33100000000000002</v>
      </c>
      <c r="J115" s="1" t="s">
        <v>170</v>
      </c>
      <c r="K115" s="1" t="s">
        <v>380</v>
      </c>
      <c r="L115" s="1" t="s">
        <v>378</v>
      </c>
      <c r="M115" s="1" t="s">
        <v>118</v>
      </c>
      <c r="N115" s="1" t="s">
        <v>610</v>
      </c>
      <c r="O115" s="1" t="s">
        <v>544</v>
      </c>
      <c r="P115" s="2">
        <v>2.5375099504859593</v>
      </c>
      <c r="Q115" s="2">
        <v>2.3837620139263347</v>
      </c>
      <c r="R115" s="2">
        <v>3.1275673370601207</v>
      </c>
      <c r="S115" s="1">
        <f t="shared" si="4"/>
        <v>2.6829464338241382</v>
      </c>
      <c r="T115" s="1">
        <f t="shared" si="3"/>
        <v>0.39265177663531725</v>
      </c>
      <c r="U115" s="1" t="s">
        <v>561</v>
      </c>
    </row>
    <row r="116" spans="1:21" x14ac:dyDescent="0.3">
      <c r="A116" s="1">
        <v>115</v>
      </c>
      <c r="B116" s="1" t="s">
        <v>381</v>
      </c>
      <c r="C116" s="1">
        <v>301</v>
      </c>
      <c r="D116" s="1">
        <v>1</v>
      </c>
      <c r="E116" s="1" t="s">
        <v>382</v>
      </c>
      <c r="F116" s="1">
        <v>77023047</v>
      </c>
      <c r="G116" s="1" t="s">
        <v>15</v>
      </c>
      <c r="H116" s="1" t="s">
        <v>24</v>
      </c>
      <c r="I116" s="1">
        <v>0.37</v>
      </c>
      <c r="J116" s="1" t="s">
        <v>170</v>
      </c>
      <c r="K116" s="1" t="s">
        <v>383</v>
      </c>
      <c r="L116" s="1" t="s">
        <v>384</v>
      </c>
      <c r="M116" s="1" t="s">
        <v>28</v>
      </c>
      <c r="N116" s="1" t="s">
        <v>611</v>
      </c>
      <c r="O116" s="1" t="s">
        <v>545</v>
      </c>
      <c r="P116" s="2">
        <v>1.4647839985925364</v>
      </c>
      <c r="Q116" s="2">
        <v>1.3065590619806573</v>
      </c>
      <c r="R116" s="2">
        <v>1.7229014036292245</v>
      </c>
      <c r="S116" s="1">
        <f t="shared" si="4"/>
        <v>1.4980814880674727</v>
      </c>
      <c r="T116" s="1">
        <f t="shared" si="3"/>
        <v>0.21015893620389725</v>
      </c>
      <c r="U116" s="1">
        <f>_xlfn.T.TEST(P116:R116,P117:R117,2,3)</f>
        <v>9.1638171234500049E-2</v>
      </c>
    </row>
    <row r="117" spans="1:21" x14ac:dyDescent="0.3">
      <c r="A117" s="1">
        <v>116</v>
      </c>
      <c r="B117" s="1" t="s">
        <v>385</v>
      </c>
      <c r="C117" s="1">
        <v>301</v>
      </c>
      <c r="D117" s="1">
        <v>1</v>
      </c>
      <c r="E117" s="1" t="s">
        <v>382</v>
      </c>
      <c r="F117" s="1">
        <v>77023047</v>
      </c>
      <c r="G117" s="1" t="s">
        <v>15</v>
      </c>
      <c r="H117" s="1" t="s">
        <v>24</v>
      </c>
      <c r="I117" s="1">
        <v>0.37</v>
      </c>
      <c r="J117" s="1" t="s">
        <v>170</v>
      </c>
      <c r="K117" s="1" t="s">
        <v>386</v>
      </c>
      <c r="L117" s="1" t="s">
        <v>384</v>
      </c>
      <c r="M117" s="1" t="s">
        <v>28</v>
      </c>
      <c r="N117" s="1" t="s">
        <v>611</v>
      </c>
      <c r="O117" s="1" t="s">
        <v>546</v>
      </c>
      <c r="P117" s="2">
        <v>3.4333982990645167</v>
      </c>
      <c r="Q117" s="2">
        <v>1.9406404076309633</v>
      </c>
      <c r="R117" s="2">
        <v>3.2833357115200141</v>
      </c>
      <c r="S117" s="1">
        <f t="shared" si="4"/>
        <v>2.8857914727384979</v>
      </c>
      <c r="T117" s="1">
        <f t="shared" si="3"/>
        <v>0.8219565663406867</v>
      </c>
      <c r="U117" s="1" t="s">
        <v>561</v>
      </c>
    </row>
    <row r="118" spans="1:21" x14ac:dyDescent="0.3">
      <c r="A118" s="1">
        <v>117</v>
      </c>
      <c r="B118" s="1" t="s">
        <v>387</v>
      </c>
      <c r="C118" s="1">
        <v>301</v>
      </c>
      <c r="D118" s="1">
        <v>1</v>
      </c>
      <c r="E118" s="1" t="s">
        <v>388</v>
      </c>
      <c r="F118" s="1">
        <v>17856139</v>
      </c>
      <c r="G118" s="1" t="s">
        <v>24</v>
      </c>
      <c r="H118" s="1" t="s">
        <v>14</v>
      </c>
      <c r="I118" s="1">
        <v>0.49099999999999999</v>
      </c>
      <c r="J118" s="1" t="s">
        <v>36</v>
      </c>
      <c r="K118" s="1" t="s">
        <v>389</v>
      </c>
      <c r="L118" s="1" t="s">
        <v>390</v>
      </c>
      <c r="M118" s="1" t="s">
        <v>118</v>
      </c>
      <c r="N118" s="1" t="s">
        <v>612</v>
      </c>
      <c r="O118" s="1" t="s">
        <v>547</v>
      </c>
      <c r="P118" s="2">
        <v>2.5798371766153214</v>
      </c>
      <c r="Q118" s="2">
        <v>2.7086269087788937</v>
      </c>
      <c r="R118" s="2">
        <v>2.6882432306660733</v>
      </c>
      <c r="S118" s="1">
        <f t="shared" si="4"/>
        <v>2.6589024386867628</v>
      </c>
      <c r="T118" s="1">
        <f t="shared" si="3"/>
        <v>6.9226875801028667E-2</v>
      </c>
      <c r="U118" s="1">
        <f>_xlfn.T.TEST(P118:R118,P119:R119,2,3)</f>
        <v>6.53000565460763E-4</v>
      </c>
    </row>
    <row r="119" spans="1:21" x14ac:dyDescent="0.3">
      <c r="A119" s="1">
        <v>118</v>
      </c>
      <c r="B119" s="1" t="s">
        <v>391</v>
      </c>
      <c r="C119" s="1">
        <v>301</v>
      </c>
      <c r="D119" s="1">
        <v>1</v>
      </c>
      <c r="E119" s="1" t="s">
        <v>388</v>
      </c>
      <c r="F119" s="1">
        <v>17856139</v>
      </c>
      <c r="G119" s="1" t="s">
        <v>24</v>
      </c>
      <c r="H119" s="1" t="s">
        <v>14</v>
      </c>
      <c r="I119" s="1">
        <v>0.49099999999999999</v>
      </c>
      <c r="J119" s="1" t="s">
        <v>36</v>
      </c>
      <c r="K119" s="1" t="s">
        <v>392</v>
      </c>
      <c r="L119" s="1" t="s">
        <v>390</v>
      </c>
      <c r="M119" s="1" t="s">
        <v>118</v>
      </c>
      <c r="N119" s="1" t="s">
        <v>612</v>
      </c>
      <c r="O119" s="1" t="s">
        <v>548</v>
      </c>
      <c r="P119" s="2">
        <v>1.4791141171823812</v>
      </c>
      <c r="Q119" s="2">
        <v>1.5110611274249726</v>
      </c>
      <c r="R119" s="2">
        <v>1.7041012703627088</v>
      </c>
      <c r="S119" s="1">
        <f t="shared" si="4"/>
        <v>1.5647588383233542</v>
      </c>
      <c r="T119" s="1">
        <f t="shared" si="3"/>
        <v>0.12172669341948655</v>
      </c>
      <c r="U119" s="1" t="s">
        <v>561</v>
      </c>
    </row>
    <row r="120" spans="1:21" x14ac:dyDescent="0.3">
      <c r="A120" s="1">
        <v>119</v>
      </c>
      <c r="B120" s="1" t="s">
        <v>393</v>
      </c>
      <c r="C120" s="1">
        <v>301</v>
      </c>
      <c r="D120" s="1">
        <v>1</v>
      </c>
      <c r="E120" s="1" t="s">
        <v>394</v>
      </c>
      <c r="F120" s="1">
        <v>38404563</v>
      </c>
      <c r="G120" s="1" t="s">
        <v>24</v>
      </c>
      <c r="H120" s="1" t="s">
        <v>14</v>
      </c>
      <c r="I120" s="1">
        <v>0.98499999999999999</v>
      </c>
      <c r="J120" s="1" t="s">
        <v>36</v>
      </c>
      <c r="K120" s="1" t="s">
        <v>395</v>
      </c>
      <c r="L120" s="1" t="s">
        <v>396</v>
      </c>
      <c r="M120" s="1" t="s">
        <v>323</v>
      </c>
      <c r="N120" s="1" t="s">
        <v>613</v>
      </c>
      <c r="O120" s="1" t="s">
        <v>549</v>
      </c>
      <c r="P120" s="2">
        <v>1.0820448607574882</v>
      </c>
      <c r="Q120" s="2">
        <v>1.2120951564499196</v>
      </c>
      <c r="R120" s="2">
        <v>1.116536693878291</v>
      </c>
      <c r="S120" s="1">
        <f t="shared" si="4"/>
        <v>1.1368922370285661</v>
      </c>
      <c r="T120" s="1">
        <f t="shared" si="3"/>
        <v>6.7372330782964965E-2</v>
      </c>
      <c r="U120" s="1">
        <f>_xlfn.T.TEST(P120:R120,P121:R121,2,3)</f>
        <v>3.5437346618822904E-2</v>
      </c>
    </row>
    <row r="121" spans="1:21" x14ac:dyDescent="0.3">
      <c r="A121" s="1">
        <v>120</v>
      </c>
      <c r="B121" s="1" t="s">
        <v>397</v>
      </c>
      <c r="C121" s="1">
        <v>301</v>
      </c>
      <c r="D121" s="1">
        <v>1</v>
      </c>
      <c r="E121" s="1" t="s">
        <v>394</v>
      </c>
      <c r="F121" s="1">
        <v>38404563</v>
      </c>
      <c r="G121" s="1" t="s">
        <v>24</v>
      </c>
      <c r="H121" s="1" t="s">
        <v>14</v>
      </c>
      <c r="I121" s="1">
        <v>0.98499999999999999</v>
      </c>
      <c r="J121" s="1" t="s">
        <v>36</v>
      </c>
      <c r="K121" s="1" t="s">
        <v>398</v>
      </c>
      <c r="L121" s="1" t="s">
        <v>396</v>
      </c>
      <c r="M121" s="1" t="s">
        <v>323</v>
      </c>
      <c r="N121" s="1" t="s">
        <v>613</v>
      </c>
      <c r="O121" s="1" t="s">
        <v>550</v>
      </c>
      <c r="P121" s="2">
        <v>1.3417930691184108</v>
      </c>
      <c r="Q121" s="2">
        <v>1.3554269258191287</v>
      </c>
      <c r="R121" s="2">
        <v>1.555552252329079</v>
      </c>
      <c r="S121" s="1">
        <f t="shared" si="4"/>
        <v>1.4175907490888726</v>
      </c>
      <c r="T121" s="1">
        <f t="shared" si="3"/>
        <v>0.11967248135790029</v>
      </c>
      <c r="U121" s="1" t="s">
        <v>561</v>
      </c>
    </row>
    <row r="122" spans="1:21" x14ac:dyDescent="0.3">
      <c r="A122" s="1">
        <v>121</v>
      </c>
      <c r="B122" s="1" t="s">
        <v>399</v>
      </c>
      <c r="C122" s="1">
        <v>301</v>
      </c>
      <c r="D122" s="1">
        <v>1</v>
      </c>
      <c r="E122" s="1" t="s">
        <v>400</v>
      </c>
      <c r="F122" s="1">
        <v>38435575</v>
      </c>
      <c r="G122" s="1" t="s">
        <v>24</v>
      </c>
      <c r="H122" s="1" t="s">
        <v>15</v>
      </c>
      <c r="I122" s="1">
        <v>1</v>
      </c>
      <c r="J122" s="1" t="s">
        <v>36</v>
      </c>
      <c r="K122" s="1" t="s">
        <v>401</v>
      </c>
      <c r="L122" s="1" t="s">
        <v>402</v>
      </c>
      <c r="M122" s="1" t="s">
        <v>39</v>
      </c>
      <c r="N122" s="1" t="s">
        <v>614</v>
      </c>
      <c r="O122" s="1" t="s">
        <v>551</v>
      </c>
      <c r="P122" s="2">
        <v>6.573869407380524E-2</v>
      </c>
      <c r="Q122" s="2">
        <v>8.0932260957289143E-2</v>
      </c>
      <c r="R122" s="2">
        <v>7.0884149331190929E-2</v>
      </c>
      <c r="S122" s="1">
        <f t="shared" si="4"/>
        <v>7.2518368120761775E-2</v>
      </c>
      <c r="T122" s="1">
        <f t="shared" si="3"/>
        <v>7.7274913102419263E-3</v>
      </c>
      <c r="U122" s="1">
        <f>_xlfn.T.TEST(P122:R122,P123:R123,2,3)</f>
        <v>1.1024936313913557E-2</v>
      </c>
    </row>
    <row r="123" spans="1:21" x14ac:dyDescent="0.3">
      <c r="A123" s="1">
        <v>122</v>
      </c>
      <c r="B123" s="1" t="s">
        <v>403</v>
      </c>
      <c r="C123" s="1">
        <v>301</v>
      </c>
      <c r="D123" s="1">
        <v>1</v>
      </c>
      <c r="E123" s="1" t="s">
        <v>400</v>
      </c>
      <c r="F123" s="1">
        <v>38435575</v>
      </c>
      <c r="G123" s="1" t="s">
        <v>24</v>
      </c>
      <c r="H123" s="1" t="s">
        <v>15</v>
      </c>
      <c r="I123" s="1">
        <v>1</v>
      </c>
      <c r="J123" s="1" t="s">
        <v>36</v>
      </c>
      <c r="K123" s="1" t="s">
        <v>404</v>
      </c>
      <c r="L123" s="1" t="s">
        <v>402</v>
      </c>
      <c r="M123" s="1" t="s">
        <v>39</v>
      </c>
      <c r="N123" s="1" t="s">
        <v>614</v>
      </c>
      <c r="O123" s="1" t="s">
        <v>552</v>
      </c>
      <c r="P123" s="2">
        <v>0.34735064239101299</v>
      </c>
      <c r="Q123" s="2">
        <v>0.28098747491165105</v>
      </c>
      <c r="R123" s="2">
        <v>0.3822160910809575</v>
      </c>
      <c r="S123" s="1">
        <f t="shared" si="4"/>
        <v>0.33685140279454057</v>
      </c>
      <c r="T123" s="1">
        <f t="shared" si="3"/>
        <v>5.142454381874708E-2</v>
      </c>
      <c r="U123" s="1" t="s">
        <v>561</v>
      </c>
    </row>
    <row r="124" spans="1:21" x14ac:dyDescent="0.3">
      <c r="A124" s="1">
        <v>123</v>
      </c>
      <c r="B124" s="1" t="s">
        <v>405</v>
      </c>
      <c r="C124" s="1">
        <v>301</v>
      </c>
      <c r="D124" s="1">
        <v>1</v>
      </c>
      <c r="E124" s="1" t="s">
        <v>406</v>
      </c>
      <c r="F124" s="1">
        <v>38472865</v>
      </c>
      <c r="G124" s="1" t="s">
        <v>15</v>
      </c>
      <c r="H124" s="1" t="s">
        <v>72</v>
      </c>
      <c r="I124" s="1">
        <v>6.0999999999999999E-2</v>
      </c>
      <c r="J124" s="1" t="s">
        <v>36</v>
      </c>
      <c r="K124" s="1" t="s">
        <v>407</v>
      </c>
      <c r="L124" s="1" t="s">
        <v>408</v>
      </c>
      <c r="M124" s="1" t="s">
        <v>67</v>
      </c>
      <c r="N124" s="1" t="s">
        <v>615</v>
      </c>
      <c r="O124" s="1" t="s">
        <v>553</v>
      </c>
      <c r="P124" s="2">
        <v>0.68917101242738077</v>
      </c>
      <c r="Q124" s="2">
        <v>0.44349244009423594</v>
      </c>
      <c r="R124" s="2">
        <v>0.58113435430777993</v>
      </c>
      <c r="S124" s="1">
        <f t="shared" si="4"/>
        <v>0.57126593560979888</v>
      </c>
      <c r="T124" s="1">
        <f t="shared" si="3"/>
        <v>0.12313622331228152</v>
      </c>
      <c r="U124" s="1">
        <f>_xlfn.T.TEST(P124:R124,P125:R125,2,3)</f>
        <v>6.558078328780978E-2</v>
      </c>
    </row>
    <row r="125" spans="1:21" x14ac:dyDescent="0.3">
      <c r="A125" s="1">
        <v>124</v>
      </c>
      <c r="B125" s="1" t="s">
        <v>409</v>
      </c>
      <c r="C125" s="1">
        <v>301</v>
      </c>
      <c r="D125" s="1">
        <v>1</v>
      </c>
      <c r="E125" s="1" t="s">
        <v>406</v>
      </c>
      <c r="F125" s="1">
        <v>38472865</v>
      </c>
      <c r="G125" s="1" t="s">
        <v>15</v>
      </c>
      <c r="H125" s="1" t="s">
        <v>72</v>
      </c>
      <c r="I125" s="1">
        <v>6.0999999999999999E-2</v>
      </c>
      <c r="J125" s="1" t="s">
        <v>36</v>
      </c>
      <c r="K125" s="1" t="s">
        <v>410</v>
      </c>
      <c r="L125" s="1" t="s">
        <v>408</v>
      </c>
      <c r="M125" s="1" t="s">
        <v>67</v>
      </c>
      <c r="N125" s="1" t="s">
        <v>615</v>
      </c>
      <c r="O125" s="1" t="s">
        <v>554</v>
      </c>
      <c r="P125" s="2">
        <v>0.95470093018135516</v>
      </c>
      <c r="Q125" s="2">
        <v>0.69544499653323255</v>
      </c>
      <c r="R125" s="2">
        <v>1.0214452161778882</v>
      </c>
      <c r="S125" s="1">
        <f t="shared" si="4"/>
        <v>0.8905303809641586</v>
      </c>
      <c r="T125" s="1">
        <f t="shared" si="3"/>
        <v>0.17221332800401534</v>
      </c>
      <c r="U125" s="1" t="s">
        <v>561</v>
      </c>
    </row>
    <row r="126" spans="1:21" x14ac:dyDescent="0.3">
      <c r="A126" s="1">
        <v>125</v>
      </c>
      <c r="B126" s="1" t="s">
        <v>411</v>
      </c>
      <c r="C126" s="1">
        <v>503</v>
      </c>
      <c r="D126" s="1">
        <v>2</v>
      </c>
      <c r="E126" s="1" t="s">
        <v>412</v>
      </c>
      <c r="F126" s="1" t="s">
        <v>413</v>
      </c>
      <c r="G126" s="1" t="s">
        <v>359</v>
      </c>
      <c r="H126" s="1" t="s">
        <v>414</v>
      </c>
      <c r="I126" s="1" t="s">
        <v>576</v>
      </c>
      <c r="J126" s="1" t="s">
        <v>36</v>
      </c>
      <c r="K126" s="1" t="s">
        <v>415</v>
      </c>
      <c r="L126" s="1" t="s">
        <v>408</v>
      </c>
      <c r="M126" s="1" t="s">
        <v>67</v>
      </c>
      <c r="N126" s="1" t="s">
        <v>615</v>
      </c>
      <c r="O126" s="1" t="s">
        <v>555</v>
      </c>
      <c r="P126" s="2">
        <v>1.6770449880968115</v>
      </c>
      <c r="Q126" s="2">
        <v>1.4300215212113188</v>
      </c>
      <c r="R126" s="2">
        <v>1.9302390912051037</v>
      </c>
      <c r="S126" s="1">
        <f t="shared" si="4"/>
        <v>1.6791018668377446</v>
      </c>
      <c r="T126" s="1">
        <f t="shared" si="3"/>
        <v>0.25011512828143417</v>
      </c>
      <c r="U126" s="1">
        <f>_xlfn.T.TEST(P126:R126,P127:R127,2,3)</f>
        <v>0.13280489631425804</v>
      </c>
    </row>
    <row r="127" spans="1:21" x14ac:dyDescent="0.3">
      <c r="A127" s="1">
        <v>126</v>
      </c>
      <c r="B127" s="1" t="s">
        <v>416</v>
      </c>
      <c r="C127" s="1">
        <v>503</v>
      </c>
      <c r="D127" s="1">
        <v>2</v>
      </c>
      <c r="E127" s="1" t="s">
        <v>412</v>
      </c>
      <c r="F127" s="1" t="s">
        <v>413</v>
      </c>
      <c r="G127" s="1" t="s">
        <v>359</v>
      </c>
      <c r="H127" s="1" t="s">
        <v>414</v>
      </c>
      <c r="I127" s="1" t="s">
        <v>576</v>
      </c>
      <c r="J127" s="1" t="s">
        <v>36</v>
      </c>
      <c r="K127" s="1" t="s">
        <v>417</v>
      </c>
      <c r="L127" s="1" t="s">
        <v>408</v>
      </c>
      <c r="M127" s="1" t="s">
        <v>67</v>
      </c>
      <c r="N127" s="1" t="s">
        <v>615</v>
      </c>
      <c r="O127" s="1" t="s">
        <v>556</v>
      </c>
      <c r="P127" s="2">
        <v>1.3276122700927158</v>
      </c>
      <c r="Q127" s="2">
        <v>1.2640329332004889</v>
      </c>
      <c r="R127" s="2">
        <v>1.4296566604973304</v>
      </c>
      <c r="S127" s="1">
        <f t="shared" si="4"/>
        <v>1.3404339545968451</v>
      </c>
      <c r="T127" s="1">
        <f t="shared" si="3"/>
        <v>8.3552985919518166E-2</v>
      </c>
      <c r="U127" s="1" t="s">
        <v>561</v>
      </c>
    </row>
    <row r="128" spans="1:21" x14ac:dyDescent="0.3">
      <c r="A128" s="1">
        <v>127</v>
      </c>
      <c r="B128" s="1" t="s">
        <v>418</v>
      </c>
      <c r="C128" s="1">
        <v>301</v>
      </c>
      <c r="D128" s="1">
        <v>1</v>
      </c>
      <c r="E128" s="1" t="s">
        <v>419</v>
      </c>
      <c r="F128" s="1">
        <v>38477630</v>
      </c>
      <c r="G128" s="1" t="s">
        <v>24</v>
      </c>
      <c r="H128" s="1" t="s">
        <v>72</v>
      </c>
      <c r="I128" s="1">
        <v>0.20599999999999999</v>
      </c>
      <c r="J128" s="1" t="s">
        <v>36</v>
      </c>
      <c r="K128" s="1" t="s">
        <v>420</v>
      </c>
      <c r="L128" s="1" t="s">
        <v>408</v>
      </c>
      <c r="M128" s="1" t="s">
        <v>118</v>
      </c>
      <c r="N128" s="1" t="s">
        <v>615</v>
      </c>
      <c r="O128" s="1" t="s">
        <v>557</v>
      </c>
      <c r="P128" s="2">
        <v>0.77336952417566573</v>
      </c>
      <c r="Q128" s="2">
        <v>0.74640419590407669</v>
      </c>
      <c r="R128" s="2">
        <v>0.76938338183485411</v>
      </c>
      <c r="S128" s="1">
        <f t="shared" si="4"/>
        <v>0.76305236730486536</v>
      </c>
      <c r="T128" s="1">
        <f t="shared" si="3"/>
        <v>1.4554845960463985E-2</v>
      </c>
      <c r="U128" s="1">
        <f>_xlfn.T.TEST(P128:R128,P129:R129,2,3)</f>
        <v>1.0598908492046987E-2</v>
      </c>
    </row>
    <row r="129" spans="1:21" x14ac:dyDescent="0.3">
      <c r="A129" s="1">
        <v>128</v>
      </c>
      <c r="B129" s="1" t="s">
        <v>421</v>
      </c>
      <c r="C129" s="1">
        <v>301</v>
      </c>
      <c r="D129" s="1">
        <v>1</v>
      </c>
      <c r="E129" s="1" t="s">
        <v>419</v>
      </c>
      <c r="F129" s="1">
        <v>38477630</v>
      </c>
      <c r="G129" s="1" t="s">
        <v>24</v>
      </c>
      <c r="H129" s="1" t="s">
        <v>72</v>
      </c>
      <c r="I129" s="1">
        <v>0.20599999999999999</v>
      </c>
      <c r="J129" s="1" t="s">
        <v>36</v>
      </c>
      <c r="K129" s="1" t="s">
        <v>422</v>
      </c>
      <c r="L129" s="1" t="s">
        <v>408</v>
      </c>
      <c r="M129" s="1" t="s">
        <v>118</v>
      </c>
      <c r="N129" s="1" t="s">
        <v>615</v>
      </c>
      <c r="O129" s="1" t="s">
        <v>558</v>
      </c>
      <c r="P129" s="2">
        <v>1.1342915247399459</v>
      </c>
      <c r="Q129" s="2">
        <v>1.2898182363298558</v>
      </c>
      <c r="R129" s="2">
        <v>1.2959926936423822</v>
      </c>
      <c r="S129" s="1">
        <f t="shared" si="4"/>
        <v>1.2400341515707278</v>
      </c>
      <c r="T129" s="1">
        <f t="shared" si="3"/>
        <v>9.1627825072854274E-2</v>
      </c>
      <c r="U129" s="1" t="s">
        <v>561</v>
      </c>
    </row>
    <row r="130" spans="1:21" x14ac:dyDescent="0.3">
      <c r="A130" s="1">
        <v>129</v>
      </c>
      <c r="B130" s="1" t="s">
        <v>423</v>
      </c>
      <c r="C130" s="1">
        <v>301</v>
      </c>
      <c r="D130" s="1">
        <v>1</v>
      </c>
      <c r="E130" s="1" t="s">
        <v>424</v>
      </c>
      <c r="F130" s="1">
        <v>38478786</v>
      </c>
      <c r="G130" s="1" t="s">
        <v>72</v>
      </c>
      <c r="H130" s="1" t="s">
        <v>15</v>
      </c>
      <c r="I130" s="1">
        <v>0.30499999999999999</v>
      </c>
      <c r="J130" s="1" t="s">
        <v>36</v>
      </c>
      <c r="K130" s="1" t="s">
        <v>425</v>
      </c>
      <c r="L130" s="1" t="s">
        <v>408</v>
      </c>
      <c r="M130" s="1" t="s">
        <v>118</v>
      </c>
      <c r="N130" s="1" t="s">
        <v>615</v>
      </c>
      <c r="O130" s="1" t="s">
        <v>559</v>
      </c>
      <c r="P130" s="2">
        <v>0.49196769327018541</v>
      </c>
      <c r="Q130" s="2">
        <v>0.6006784736945644</v>
      </c>
      <c r="R130" s="2">
        <v>0.61981816253221289</v>
      </c>
      <c r="S130" s="1">
        <f t="shared" si="4"/>
        <v>0.57082144316565431</v>
      </c>
      <c r="T130" s="1">
        <f t="shared" si="3"/>
        <v>6.8956633666626757E-2</v>
      </c>
      <c r="U130" s="1">
        <f>_xlfn.T.TEST(P130:R130,P131:R131,2,3)</f>
        <v>7.8810909440356491E-6</v>
      </c>
    </row>
    <row r="131" spans="1:21" x14ac:dyDescent="0.3">
      <c r="A131" s="1">
        <v>130</v>
      </c>
      <c r="B131" s="1" t="s">
        <v>426</v>
      </c>
      <c r="C131" s="1">
        <v>301</v>
      </c>
      <c r="D131" s="1">
        <v>1</v>
      </c>
      <c r="E131" s="1" t="s">
        <v>424</v>
      </c>
      <c r="F131" s="1">
        <v>38478786</v>
      </c>
      <c r="G131" s="1" t="s">
        <v>72</v>
      </c>
      <c r="H131" s="1" t="s">
        <v>15</v>
      </c>
      <c r="I131" s="1">
        <v>0.30499999999999999</v>
      </c>
      <c r="J131" s="1" t="s">
        <v>36</v>
      </c>
      <c r="K131" s="1" t="s">
        <v>427</v>
      </c>
      <c r="L131" s="1" t="s">
        <v>408</v>
      </c>
      <c r="M131" s="1" t="s">
        <v>118</v>
      </c>
      <c r="N131" s="1" t="s">
        <v>615</v>
      </c>
      <c r="O131" s="1" t="s">
        <v>560</v>
      </c>
      <c r="P131" s="2">
        <v>2.2180596950299405</v>
      </c>
      <c r="Q131" s="2">
        <v>2.1188846067589857</v>
      </c>
      <c r="R131" s="2">
        <v>2.2363406864819808</v>
      </c>
      <c r="S131" s="1">
        <f t="shared" si="4"/>
        <v>2.1910949960903023</v>
      </c>
      <c r="T131" s="1">
        <f t="shared" ref="T131" si="5">STDEV(P131:R131)</f>
        <v>6.3200505596495329E-2</v>
      </c>
      <c r="U131" s="1" t="s">
        <v>561</v>
      </c>
    </row>
    <row r="132" spans="1:21" x14ac:dyDescent="0.3">
      <c r="N132" s="1" t="s">
        <v>616</v>
      </c>
      <c r="S132" s="8" t="s">
        <v>562</v>
      </c>
      <c r="U132" s="8" t="s">
        <v>563</v>
      </c>
    </row>
    <row r="136" spans="1:21" ht="15.6" x14ac:dyDescent="0.3">
      <c r="S136" s="9" t="s">
        <v>623</v>
      </c>
      <c r="T136" s="1">
        <f>COUNTIF(S2:S131,"&gt;1")</f>
        <v>48</v>
      </c>
      <c r="U136" s="10"/>
    </row>
    <row r="137" spans="1:21" ht="15.6" x14ac:dyDescent="0.3">
      <c r="T137" s="1" t="s">
        <v>564</v>
      </c>
      <c r="U137" s="10"/>
    </row>
    <row r="138" spans="1:21" ht="15.6" x14ac:dyDescent="0.3">
      <c r="T138" s="10">
        <f>(T136*100)/130</f>
        <v>36.92307692307692</v>
      </c>
      <c r="U138" s="10"/>
    </row>
    <row r="139" spans="1:21" ht="15.6" x14ac:dyDescent="0.3">
      <c r="T139" s="11" t="s">
        <v>565</v>
      </c>
      <c r="U13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VectorSequences</vt:lpstr>
      <vt:lpstr>Results_LBL3_luc_R1R2</vt:lpstr>
      <vt:lpstr>Results_NALM6_luc_R12</vt:lpstr>
      <vt:lpstr>Results_RS411_luc_R1</vt:lpstr>
      <vt:lpstr>Results_SEM_luc_R1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Robert Finestra</dc:creator>
  <cp:lastModifiedBy>Teresa Robert</cp:lastModifiedBy>
  <dcterms:created xsi:type="dcterms:W3CDTF">2026-04-08T09:42:16Z</dcterms:created>
  <dcterms:modified xsi:type="dcterms:W3CDTF">2026-08-21T06:02:39Z</dcterms:modified>
</cp:coreProperties>
</file>